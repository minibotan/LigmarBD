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acccc25c5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09bd96e6fcbf4050"/>
    <x:sheet xmlns:r="http://schemas.openxmlformats.org/officeDocument/2006/relationships" name="Предметы" sheetId="2" r:id="R060e0ef8c6cc4bb9"/>
    <x:sheet xmlns:r="http://schemas.openxmlformats.org/officeDocument/2006/relationships" name="Заточка и сокеты" sheetId="3" r:id="Re847172b61824bbd"/>
    <x:sheet xmlns:r="http://schemas.openxmlformats.org/officeDocument/2006/relationships" name="Прогресс" sheetId="4" r:id="R95d5aa3247f84ede"/>
    <x:sheet xmlns:r="http://schemas.openxmlformats.org/officeDocument/2006/relationships" name="Маршруты" sheetId="5" r:id="R1fa5eb5180b643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&quot;%&quot;"/>
  </x:numFmts>
  <x:fonts count="9">
    <x:font>
      <x:sz val="11"/>
      <x:name val="Carlito"/>
    </x:font>
    <x:font>
      <x:sz val="10"/>
      <x:color rgb="FF1F2937"/>
      <x:name val="Arial"/>
    </x:font>
    <x:font>
      <x:b/>
      <x:sz val="15"/>
      <x:color rgb="FF172033"/>
      <x:name val="Arial"/>
    </x:font>
    <x:font>
      <x:b/>
      <x:sz val="10"/>
      <x:color rgb="FFFFFFFF"/>
      <x:name val="Arial"/>
    </x:font>
    <x:font>
      <x:b/>
      <x:sz val="10"/>
      <x:color rgb="FF172033"/>
      <x:name val="Arial"/>
    </x:font>
    <x:font>
      <x:b/>
      <x:sz val="11"/>
      <x:color rgb="FF172033"/>
      <x:name val="Arial"/>
    </x:font>
    <x:font>
      <x:b/>
      <x:sz val="10"/>
      <x:color rgb="FF1F2937"/>
      <x:name val="Arial"/>
    </x:font>
    <x:font>
      <x:i/>
      <x:sz val="9"/>
      <x:color rgb="FF667085"/>
      <x:name val="Arial"/>
    </x:font>
    <x:font>
      <x:b/>
      <x:sz val="10"/>
      <x:color rgb="FFB54B4B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2D5D8A"/>
      </x:patternFill>
    </x:fill>
    <x:fill>
      <x:patternFill patternType="solid">
        <x:fgColor rgb="FF172033"/>
      </x:patternFill>
    </x:fill>
    <x:fill>
      <x:patternFill patternType="solid">
        <x:fgColor rgb="FFDCEAF5"/>
      </x:patternFill>
    </x:fill>
    <x:fill>
      <x:patternFill patternType="solid">
        <x:fgColor rgb="FF6E4E9B"/>
      </x:patternFill>
    </x:fill>
    <x:fill>
      <x:patternFill patternType="solid">
        <x:fgColor rgb="FFFFF1CC"/>
      </x:patternFill>
    </x:fill>
    <x:fill>
      <x:patternFill patternType="solid">
        <x:fgColor rgb="FF2E7D62"/>
      </x:patternFill>
    </x:fill>
    <x:fill>
      <x:patternFill patternType="solid">
        <x:fgColor rgb="FFF8E2E2"/>
      </x:patternFill>
    </x:fill>
  </x:fills>
  <x:borders count="4">
    <x:border/>
    <x:border>
      <x:left style="thin">
        <x:color rgb="FFDCEAF5"/>
      </x:left>
      <x:top style="thin">
        <x:color rgb="FFDCEAF5"/>
      </x:top>
      <x:bottom style="thin">
        <x:color rgb="FFDCEAF5"/>
      </x:bottom>
    </x:border>
    <x:border>
      <x:top style="thin">
        <x:color rgb="FFDCEAF5"/>
      </x:top>
      <x:bottom style="thin">
        <x:color rgb="FFDCEAF5"/>
      </x:bottom>
    </x:border>
    <x:border>
      <x:right style="thin">
        <x:color rgb="FFDCEAF5"/>
      </x:right>
      <x:top style="thin">
        <x:color rgb="FFDCEAF5"/>
      </x:top>
      <x:bottom style="thin">
        <x:color rgb="FFDCEAF5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B54B4B"/>
      </x:font>
      <x:fill>
        <x:patternFill>
          <x:bgColor rgb="FFF8E2E2"/>
        </x:patternFill>
      </x:fill>
    </x:dxf>
    <x:dxf>
      <x:font>
        <x:b/>
        <x:color rgb="FF6E4E9B"/>
      </x:font>
      <x:fill>
        <x:patternFill>
          <x:bgColor rgb="FFEEE7F6"/>
        </x:patternFill>
      </x:fill>
    </x:dxf>
    <x:dxf>
      <x:font>
        <x:b/>
        <x:color rgb="FFB54B4B"/>
      </x:font>
      <x:fill>
        <x:patternFill>
          <x:bgColor rgb="FFF8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073ddcd2d459a" /><Relationship Type="http://schemas.openxmlformats.org/officeDocument/2006/relationships/theme" Target="/xl/theme/theme1.xml" Id="R2276a138f0f4446d" /><Relationship Type="http://schemas.openxmlformats.org/officeDocument/2006/relationships/sharedStrings" Target="/xl/sharedStrings.xml" Id="R8da3d6a4d2fc47a5" /><Relationship Type="http://schemas.openxmlformats.org/officeDocument/2006/relationships/worksheet" Target="/xl/worksheets/sheet1.xml" Id="R09bd96e6fcbf4050" /><Relationship Type="http://schemas.openxmlformats.org/officeDocument/2006/relationships/worksheet" Target="/xl/worksheets/sheet2.xml" Id="R060e0ef8c6cc4bb9" /><Relationship Type="http://schemas.openxmlformats.org/officeDocument/2006/relationships/worksheet" Target="/xl/worksheets/sheet3.xml" Id="Re847172b61824bbd" /><Relationship Type="http://schemas.openxmlformats.org/officeDocument/2006/relationships/worksheet" Target="/xl/worksheets/sheet4.xml" Id="R95d5aa3247f84ede" /><Relationship Type="http://schemas.openxmlformats.org/officeDocument/2006/relationships/worksheet" Target="/xl/worksheets/sheet5.xml" Id="R1fa5eb5180b643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2033"/>
  </x:sheetPr>
  <x:sheetViews>
    <x:sheetView showGridLines="0" workbookViewId="0"/>
  </x:sheetViews>
  <x:sheetFormatPr defaultRowHeight="15"/>
  <x:cols>
    <x:col min="1" max="1" width="33" hidden="0" customWidth="1"/>
    <x:col min="2" max="2" width="20" hidden="0" customWidth="1"/>
    <x:col min="3" max="3" width="3" hidden="0" customWidth="1"/>
    <x:col min="4" max="4" width="25" hidden="0" customWidth="1"/>
    <x:col min="5" max="5" width="34" hidden="0" customWidth="1"/>
    <x:col min="6" max="6" width="22" hidden="0" customWidth="1"/>
    <x:col min="7" max="7" width="16" hidden="0" customWidth="1"/>
    <x:col min="8" max="8" width="4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</x:row>
    <x:row r="2" ht="18" hidden="0" customHeight="1">
      <x:c r="A2" s="3" t="str">
        <x:v>Ligmar: правила v0.40.509</x:v>
      </x:c>
      <x:c r="B2" s="3"/>
      <x:c r="C2" s="3"/>
      <x:c r="D2" s="3"/>
      <x:c r="E2" s="3"/>
      <x:c r="F2" s="3"/>
      <x:c r="G2" s="3"/>
      <x:c r="H2" s="3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</x:row>
    <x:row r="5" ht="15" hidden="0" customHeight="1">
      <x:c r="A5" s="8" t="str">
        <x:v>Показатель</x:v>
      </x:c>
      <x:c r="B5" s="8" t="str">
        <x:v>Значение</x:v>
      </x:c>
      <x:c r="C5" s="2"/>
      <x:c r="D5" s="8" t="str">
        <x:v>Главные находки</x:v>
      </x:c>
      <x:c r="E5" s="8" t="str">
        <x:v>Что известно</x:v>
      </x:c>
      <x:c r="F5" s="8" t="str">
        <x:v>Где смотреть</x:v>
      </x:c>
      <x:c r="G5" s="8" t="str">
        <x:v>Статус</x:v>
      </x:c>
      <x:c r="H5" s="8" t="str">
        <x:v>Примечание</x:v>
      </x:c>
    </x:row>
    <x:row r="6" ht="15" hidden="0" customHeight="1">
      <x:c r="A6" s="2" t="str">
        <x:v>Формул и правил в каталоге</x:v>
      </x:c>
      <x:c r="B6" s="10" t="n">
        <x:f>COUNTA('Предметы'!A27:A35)</x:f>
        <x:v>8</x:v>
      </x:c>
      <x:c r="C6" s="2"/>
      <x:c r="D6" s="2" t="str">
        <x:v>Gear Score</x:v>
      </x:c>
      <x:c r="E6" s="2" t="str">
        <x:v>Формула полностью присутствует</x:v>
      </x:c>
      <x:c r="F6" s="2" t="str">
        <x:v>Предметы</x:v>
      </x:c>
      <x:c r="G6" s="2" t="str">
        <x:v>Подтверждено</x:v>
      </x:c>
      <x:c r="H6" s="2" t="str">
        <x:v>Использует power маг. свойств, тиры сокетов и заточку</x:v>
      </x:c>
    </x:row>
    <x:row r="7" ht="15" hidden="0" customHeight="1">
      <x:c r="A7" s="2" t="str">
        <x:v>Уровней заточки</x:v>
      </x:c>
      <x:c r="B7" s="10" t="n">
        <x:f>12</x:f>
        <x:v>12</x:v>
      </x:c>
      <x:c r="C7" s="2"/>
      <x:c r="D7" s="2" t="str">
        <x:v>Заточка</x:v>
      </x:c>
      <x:c r="E7" s="2" t="str">
        <x:v>Максимум +12; тип шанса зависит от кристалла</x:v>
      </x:c>
      <x:c r="F7" s="2" t="str">
        <x:v>Заточка и сокеты</x:v>
      </x:c>
      <x:c r="G7" s="2" t="str">
        <x:v>Частично</x:v>
      </x:c>
      <x:c r="H7" s="2" t="str">
        <x:v>Таблица процентов не задана</x:v>
      </x:c>
    </x:row>
    <x:row r="8" ht="15" hidden="0" customHeight="1">
      <x:c r="A8" s="2" t="str">
        <x:v>Функций в таблице открытия</x:v>
      </x:c>
      <x:c r="B8" s="10" t="n">
        <x:f>COUNTA('Прогресс'!A26:A76)</x:f>
        <x:v>51</x:v>
      </x:c>
      <x:c r="C8" s="2"/>
      <x:c r="D8" s="2" t="str">
        <x:v>Сокеты</x:v>
      </x:c>
      <x:c r="E8" s="2" t="str">
        <x:v>Полная таблица стоимости T1–T12</x:v>
      </x:c>
      <x:c r="F8" s="2" t="str">
        <x:v>Заточка и сокеты</x:v>
      </x:c>
      <x:c r="G8" s="2" t="str">
        <x:v>Подтверждено</x:v>
      </x:c>
      <x:c r="H8" s="2" t="str">
        <x:v>Раздельно для оружия и брони</x:v>
      </x:c>
    </x:row>
    <x:row r="9" ht="15" hidden="0" customHeight="1">
      <x:c r="A9" s="2" t="str">
        <x:v>Маршрутов</x:v>
      </x:c>
      <x:c r="B9" s="10" t="n">
        <x:f>COUNTA('Маршруты'!A7:A250)</x:f>
        <x:v>162</x:v>
      </x:c>
      <x:c r="C9" s="2"/>
      <x:c r="D9" s="2" t="str">
        <x:v>Переплавка</x:v>
      </x:c>
      <x:c r="E9" s="2" t="str">
        <x:v>Формула шанса и бонусы</x:v>
      </x:c>
      <x:c r="F9" s="2" t="str">
        <x:v>Прогресс</x:v>
      </x:c>
      <x:c r="G9" s="2" t="str">
        <x:v>Подтверждено</x:v>
      </x:c>
      <x:c r="H9" s="2" t="str">
        <x:v>Бонус мастера зависит от таблицы множителей</x:v>
      </x:c>
    </x:row>
    <x:row r="10" ht="15" hidden="0" customHeight="1">
      <x:c r="A10" s="2" t="str">
        <x:v>Финальная боевая математика</x:v>
      </x:c>
      <x:c r="B10" s="10" t="str">
        <x:v>Не установлена</x:v>
      </x:c>
      <x:c r="C10" s="2"/>
      <x:c r="D10" s="2" t="str">
        <x:v>Открытие функций</x:v>
      </x:c>
      <x:c r="E10" s="2" t="str">
        <x:v>Уровни 1–35 и сезонные ограничения</x:v>
      </x:c>
      <x:c r="F10" s="2" t="str">
        <x:v>Прогресс</x:v>
      </x:c>
      <x:c r="G10" s="2" t="str">
        <x:v>Подтверждено</x:v>
      </x:c>
      <x:c r="H10" s="2" t="str">
        <x:v>Элемент виден за 5 уровней до открытия</x:v>
      </x:c>
    </x:row>
    <x:row r="11" ht="15" hidden="0" customHeight="1">
      <x:c r="A11" s="2"/>
      <x:c r="B11" s="2"/>
      <x:c r="C11" s="2"/>
      <x:c r="D11" s="2" t="str">
        <x:v>Неочевидные экраны</x:v>
      </x:c>
      <x:c r="E11" s="2" t="str">
        <x:v>LiveOps, battle stats, live dungeon, сезонные экраны</x:v>
      </x:c>
      <x:c r="F11" s="2" t="str">
        <x:v>Маршруты</x:v>
      </x:c>
      <x:c r="G11" s="2" t="str">
        <x:v>Подтверждено</x:v>
      </x:c>
      <x:c r="H11" s="2" t="str">
        <x:v>Наличие маршрута не гарантирует доступ</x:v>
      </x:c>
    </x:row>
    <x:row r="12" ht="15" hidden="0" customHeight="1">
      <x:c r="A12" s="2"/>
      <x:c r="B12" s="2"/>
      <x:c r="C12" s="2"/>
      <x:c r="D12" s="2" t="str">
        <x:v>Урон и попадание</x:v>
      </x:c>
      <x:c r="E12" s="2" t="str">
        <x:v>Формулы отсутствуют</x:v>
      </x:c>
      <x:c r="F12" s="2" t="str">
        <x:v>Предметы</x:v>
      </x:c>
      <x:c r="G12" s="2" t="str">
        <x:v>Не установлено</x:v>
      </x:c>
      <x:c r="H12" s="2" t="str">
        <x:v>Порядок вычисления не установлен</x:v>
      </x:c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</x:row>
    <x:row r="14" ht="15" hidden="0" customHeight="1">
      <x:c r="A14" s="2"/>
      <x:c r="B14" s="2"/>
      <x:c r="C14" s="2"/>
      <x:c r="D14" s="14" t="str">
        <x:v>Ограничения анализа</x:v>
      </x:c>
      <x:c r="E14" s="14" t="str">
        <x:v>Описание</x:v>
      </x:c>
      <x:c r="F14" s="14" t="str">
        <x:v>Версия</x:v>
      </x:c>
      <x:c r="G14" s="14" t="str"/>
      <x:c r="H14" s="14" t="str">
        <x:v>Дата</x:v>
      </x:c>
    </x:row>
    <x:row r="15" ht="15" hidden="0" customHeight="1">
      <x:c r="A15" s="2"/>
      <x:c r="B15" s="2"/>
      <x:c r="C15" s="2"/>
      <x:c r="D15" s="2" t="str">
        <x:v>Статический снимок</x:v>
      </x:c>
      <x:c r="E15" s="2" t="str">
        <x:v>Значения могут измениться после обновления игры</x:v>
      </x:c>
      <x:c r="F15" s="2" t="str">
        <x:v>v0.40.509</x:v>
      </x:c>
      <x:c r="G15" s="2" t="str"/>
      <x:c r="H15" s="2" t="str">
        <x:v>2026-09-21</x:v>
      </x:c>
    </x:row>
    <x:row r="16" ht="15" hidden="0" customHeight="1">
      <x:c r="A16" s="2"/>
      <x:c r="B16" s="2"/>
      <x:c r="C16" s="2"/>
      <x:c r="D16" s="2" t="str">
        <x:v>Дополнительные таблицы</x:v>
      </x:c>
      <x:c r="E16" s="2" t="str">
        <x:v>world.enhancement, VIP и часть мастерской загружаются при входе</x:v>
      </x:c>
      <x:c r="F16" s="2" t="str">
        <x:v>Динамически</x:v>
      </x:c>
      <x:c r="G16" s="2" t="str"/>
      <x:c r="H16" s="2" t="str">
        <x:v>2026-09-21</x:v>
      </x:c>
    </x:row>
    <x:row r="17" ht="15" hidden="0" customHeight="1">
      <x:c r="A17" s="2"/>
      <x:c r="B17" s="2"/>
      <x:c r="C17" s="2"/>
      <x:c r="D17" s="2" t="str">
        <x:v>Маршруты</x:v>
      </x:c>
      <x:c r="E17" s="2" t="str">
        <x:v>Маршрут может быть закрыт уровнем, сезоном, авторизацией или сервером</x:v>
      </x:c>
      <x:c r="F17" s="2" t="str">
        <x:v>v0.40.509</x:v>
      </x:c>
      <x:c r="G17" s="2" t="str"/>
      <x:c r="H17" s="2" t="str">
        <x:v>2026-09-21</x:v>
      </x:c>
    </x:row>
    <x:row r="18" ht="15" hidden="0" customHeight="1">
      <x:c r="A18" s="2"/>
      <x:c r="B18" s="2"/>
      <x:c r="C18" s="2"/>
      <x:c r="D18" s="2" t="str">
        <x:v>Формулы боя</x:v>
      </x:c>
      <x:c r="E18" s="2" t="str">
        <x:v>Расчёт итогового удара не установлен</x:v>
      </x:c>
      <x:c r="F18" s="2" t="str">
        <x:v>v0.40.509</x:v>
      </x:c>
      <x:c r="G18" s="2" t="str"/>
      <x:c r="H18" s="2" t="str">
        <x:v>2026-09-21</x:v>
      </x:c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</x:row>
    <x:row r="22" ht="15" hidden="0" customHeight="1">
      <x:c r="A22" s="16" t="str">
        <x:v>Как читать файл</x:v>
      </x:c>
      <x:c r="B22" s="17"/>
      <x:c r="C22" s="17"/>
      <x:c r="D22" s="17"/>
      <x:c r="E22" s="17"/>
      <x:c r="F22" s="17"/>
      <x:c r="G22" s="17"/>
      <x:c r="H22" s="18"/>
    </x:row>
    <x:row r="23" ht="15" hidden="0" customHeight="1">
      <x:c r="A23" s="19" t="str">
        <x:v>Жёлтые ячейки — редактируемые входы калькуляторов.</x:v>
      </x:c>
      <x:c r="B23" s="19"/>
      <x:c r="C23" s="19"/>
      <x:c r="D23" s="19"/>
      <x:c r="E23" s="19"/>
      <x:c r="F23" s="19"/>
      <x:c r="G23" s="19"/>
      <x:c r="H23" s="19"/>
    </x:row>
    <x:row r="24" ht="15" hidden="0" customHeight="1">
      <x:c r="A24" s="19" t="str">
        <x:v>Голубые ячейки — вычисляемые результаты.</x:v>
      </x:c>
      <x:c r="B24" s="19"/>
      <x:c r="C24" s="19"/>
      <x:c r="D24" s="19"/>
      <x:c r="E24" s="19"/>
      <x:c r="F24" s="19"/>
      <x:c r="G24" s="19"/>
      <x:c r="H24" s="19"/>
    </x:row>
    <x:row r="25" ht="15" hidden="0" customHeight="1">
      <x:c r="A25" s="19" t="str">
        <x:v>Неполные правила обозначены отдельно.</x:v>
      </x:c>
      <x:c r="B25" s="19"/>
      <x:c r="C25" s="19"/>
      <x:c r="D25" s="19"/>
      <x:c r="E25" s="19"/>
      <x:c r="F25" s="19"/>
      <x:c r="G25" s="19"/>
      <x:c r="H25" s="19"/>
    </x:row>
    <x:row r="26" ht="15" hidden="0" customHeight="1">
      <x:c r="A26" s="19" t="str">
        <x:v>Актуальность формул для новых версий требует проверки.</x:v>
      </x:c>
      <x:c r="B26" s="19"/>
      <x:c r="C26" s="19"/>
      <x:c r="D26" s="19"/>
      <x:c r="E26" s="19"/>
      <x:c r="F26" s="19"/>
      <x:c r="G26" s="19"/>
      <x:c r="H26" s="19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</x:row>
  </x:sheetData>
  <x:mergeCells>
    <x:mergeCell ref="A23:H23"/>
    <x:mergeCell ref="A24:H24"/>
    <x:mergeCell ref="A25:H25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D5D8A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63" hidden="0" customWidth="1"/>
    <x:col min="3" max="3" width="25" hidden="0" customWidth="1"/>
    <x:col min="4" max="4" width="24" hidden="0" customWidth="1"/>
    <x:col min="5" max="5" width="46" hidden="0" customWidth="1"/>
    <x:col min="6" max="6" width="24" hidden="0" customWidth="1"/>
    <x:col min="7" max="7" width="3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37"/>
    </x:row>
    <x:row r="2" ht="18" hidden="0" customHeight="1">
      <x:c r="A2" s="3" t="str">
        <x:v>Предметы и формулы</x:v>
      </x:c>
      <x:c r="B2" s="3"/>
      <x:c r="C2" s="3"/>
      <x:c r="D2" s="3"/>
      <x:c r="E2" s="3"/>
      <x:c r="F2" s="3"/>
      <x:c r="G2" s="3"/>
      <x:c r="H2" s="3"/>
      <x:c r="I2" s="3"/>
      <x:c r="J2" s="3"/>
      <x:c r="K2" s="37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37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37"/>
    </x:row>
    <x:row r="5" ht="15" hidden="0" customHeight="1">
      <x:c r="A5" s="8" t="str">
        <x:v>Калькулятор предмета</x:v>
      </x:c>
      <x:c r="B5" s="8" t="str">
        <x:v>Значение</x:v>
      </x:c>
      <x:c r="C5" s="2"/>
      <x:c r="D5" s="14" t="str">
        <x:v>Параметр</x:v>
      </x:c>
      <x:c r="E5" s="14" t="str">
        <x:v>Формула/правило</x:v>
      </x:c>
      <x:c r="F5" s="14" t="str"/>
      <x:c r="G5" s="2"/>
      <x:c r="H5" s="30" t="str">
        <x:v>Качество</x:v>
      </x:c>
      <x:c r="I5" s="30" t="str">
        <x:v>Индексные статы</x:v>
      </x:c>
      <x:c r="J5" s="30" t="str">
        <x:v>Цена / Gear Score</x:v>
      </x:c>
      <x:c r="K5" s="30" t="str">
        <x:v>Зелья</x:v>
      </x:c>
    </x:row>
    <x:row r="6" ht="15" hidden="0" customHeight="1">
      <x:c r="A6" s="2" t="str">
        <x:v>Базовый тир</x:v>
      </x:c>
      <x:c r="B6" s="21" t="n">
        <x:v>8</x:v>
      </x:c>
      <x:c r="C6" s="2"/>
      <x:c r="D6" s="2" t="str">
        <x:v>Тир legendary</x:v>
      </x:c>
      <x:c r="E6" s="2" t="str">
        <x:v>baseTier + 2</x:v>
      </x:c>
      <x:c r="F6" s="23" t="str"/>
      <x:c r="G6" s="2"/>
      <x:c r="H6" s="2" t="str">
        <x:v>common</x:v>
      </x:c>
      <x:c r="I6" s="2" t="n">
        <x:v>1</x:v>
      </x:c>
      <x:c r="J6" s="2" t="n">
        <x:v>1</x:v>
      </x:c>
      <x:c r="K6" s="37" t="n">
        <x:v>1</x:v>
      </x:c>
    </x:row>
    <x:row r="7" ht="15" hidden="0" customHeight="1">
      <x:c r="A7" s="2" t="str">
        <x:v>Качество</x:v>
      </x:c>
      <x:c r="B7" s="21" t="str">
        <x:v>legendary</x:v>
      </x:c>
      <x:c r="C7" s="2"/>
      <x:c r="D7" s="2" t="str">
        <x:v>Индексные статы</x:v>
      </x:c>
      <x:c r="E7" s="2" t="str">
        <x:v>common 1; rare 1.1; epic 1.2; legendary 1.3</x:v>
      </x:c>
      <x:c r="F7" s="23" t="str"/>
      <x:c r="G7" s="2"/>
      <x:c r="H7" s="2" t="str">
        <x:v>rare</x:v>
      </x:c>
      <x:c r="I7" s="2" t="n">
        <x:v>1.1</x:v>
      </x:c>
      <x:c r="J7" s="2" t="n">
        <x:v>2</x:v>
      </x:c>
      <x:c r="K7" s="37" t="n">
        <x:v>1.2</x:v>
      </x:c>
    </x:row>
    <x:row r="8" ht="15" hidden="0" customHeight="1">
      <x:c r="A8" s="2" t="str">
        <x:v>Сумма power маг. свойств</x:v>
      </x:c>
      <x:c r="B8" s="21" t="n">
        <x:v>1500</x:v>
      </x:c>
      <x:c r="C8" s="2"/>
      <x:c r="D8" s="2" t="str">
        <x:v>Цена/Gear Score quality</x:v>
      </x:c>
      <x:c r="E8" s="2" t="str">
        <x:v>common 1; rare 2; epic 3; legendary 4</x:v>
      </x:c>
      <x:c r="F8" s="23" t="str"/>
      <x:c r="G8" s="2"/>
      <x:c r="H8" s="2" t="str">
        <x:v>epic</x:v>
      </x:c>
      <x:c r="I8" s="2" t="n">
        <x:v>1.2</x:v>
      </x:c>
      <x:c r="J8" s="2" t="n">
        <x:v>3</x:v>
      </x:c>
      <x:c r="K8" s="37" t="n">
        <x:v>1.5</x:v>
      </x:c>
    </x:row>
    <x:row r="9" ht="15" hidden="0" customHeight="1">
      <x:c r="A9" s="2" t="str">
        <x:v>Сумма тиров установленных камней</x:v>
      </x:c>
      <x:c r="B9" s="21" t="n">
        <x:v>12</x:v>
      </x:c>
      <x:c r="C9" s="2"/>
      <x:c r="D9" s="2" t="str">
        <x:v>Зелья</x:v>
      </x:c>
      <x:c r="E9" s="2" t="str">
        <x:v>common 1; rare 1.2; epic 1.5; legendary 2</x:v>
      </x:c>
      <x:c r="F9" s="23" t="str"/>
      <x:c r="G9" s="2"/>
      <x:c r="H9" s="2" t="str">
        <x:v>legendary</x:v>
      </x:c>
      <x:c r="I9" s="2" t="n">
        <x:v>1.3</x:v>
      </x:c>
      <x:c r="J9" s="2" t="n">
        <x:v>4</x:v>
      </x:c>
      <x:c r="K9" s="37" t="n">
        <x:v>2</x:v>
      </x:c>
    </x:row>
    <x:row r="10" ht="15" hidden="0" customHeight="1">
      <x:c r="A10" s="2" t="str">
        <x:v>Текущая заточка</x:v>
      </x:c>
      <x:c r="B10" s="21" t="n">
        <x:v>8</x:v>
      </x:c>
      <x:c r="C10" s="2"/>
      <x:c r="D10" s="2" t="str">
        <x:v>Сокеты</x:v>
      </x:c>
      <x:c r="E10" s="2" t="str">
        <x:v>оружие 2; броня 4; прочее 0</x:v>
      </x:c>
      <x:c r="F10" s="23" t="str"/>
      <x:c r="G10" s="2"/>
      <x:c r="H10" s="2"/>
      <x:c r="I10" s="2"/>
      <x:c r="J10" s="2"/>
      <x:c r="K10" s="37"/>
    </x:row>
    <x:row r="11" ht="15" hidden="0" customHeight="1">
      <x:c r="A11" s="2" t="str">
        <x:v>Базовый стат заточки из шаблона</x:v>
      </x:c>
      <x:c r="B11" s="21" t="n">
        <x:v>90</x:v>
      </x:c>
      <x:c r="C11" s="2"/>
      <x:c r="D11" s="2" t="str">
        <x:v>Магические свойства</x:v>
      </x:c>
      <x:c r="E11" s="2" t="str">
        <x:v>rare 2; epic/legendary 3; common 0</x:v>
      </x:c>
      <x:c r="F11" s="23" t="str"/>
      <x:c r="G11" s="2"/>
      <x:c r="H11" s="2"/>
      <x:c r="I11" s="2"/>
      <x:c r="J11" s="2"/>
      <x:c r="K11" s="37"/>
    </x:row>
    <x:row r="12" ht="15" hidden="0" customHeight="1">
      <x:c r="A12" s="2" t="str">
        <x:v>Множитель уровня заточки</x:v>
      </x:c>
      <x:c r="B12" s="21" t="n">
        <x:v>2.4</x:v>
      </x:c>
      <x:c r="C12" s="2"/>
      <x:c r="D12" s="2" t="str">
        <x:v>Продажа</x:v>
      </x:c>
      <x:c r="E12" s="2" t="str">
        <x:v>10% базовой цены</x:v>
      </x:c>
      <x:c r="F12" s="23" t="str"/>
      <x:c r="G12" s="2"/>
      <x:c r="H12" s="2"/>
      <x:c r="I12" s="2"/>
      <x:c r="J12" s="2"/>
      <x:c r="K12" s="37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37"/>
    </x:row>
    <x:row r="14" ht="15" hidden="0" customHeight="1">
      <x:c r="A14" s="2" t="str">
        <x:v>Эффективный тир</x:v>
      </x:c>
      <x:c r="B14" s="10" t="n">
        <x:f>IF(B7="legendary",B6+2,B6)</x:f>
        <x:v>10</x:v>
      </x:c>
      <x:c r="C14" s="2"/>
      <x:c r="D14" s="2"/>
      <x:c r="E14" s="2"/>
      <x:c r="F14" s="2"/>
      <x:c r="G14" s="2"/>
      <x:c r="H14" s="2"/>
      <x:c r="I14" s="2"/>
      <x:c r="J14" s="2"/>
      <x:c r="K14" s="37"/>
    </x:row>
    <x:row r="15" ht="15" hidden="0" customHeight="1">
      <x:c r="A15" s="2" t="str">
        <x:v>Множитель индексных статов</x:v>
      </x:c>
      <x:c r="B15" s="10" t="n">
        <x:f>VLOOKUP(B7,$H$6:$K$9,2,FALSE)</x:f>
        <x:v>1.3</x:v>
      </x:c>
      <x:c r="C15" s="2"/>
      <x:c r="D15" s="2"/>
      <x:c r="E15" s="2"/>
      <x:c r="F15" s="2"/>
      <x:c r="G15" s="2"/>
      <x:c r="H15" s="2"/>
      <x:c r="I15" s="2"/>
      <x:c r="J15" s="2"/>
      <x:c r="K15" s="37"/>
    </x:row>
    <x:row r="16" ht="15" hidden="0" customHeight="1">
      <x:c r="A16" s="2" t="str">
        <x:v>Множитель цены/Gear Score</x:v>
      </x:c>
      <x:c r="B16" s="10" t="n">
        <x:f>VLOOKUP(B7,$H$6:$K$9,3,FALSE)</x:f>
        <x:v>4</x:v>
      </x:c>
      <x:c r="C16" s="2"/>
      <x:c r="D16" s="2"/>
      <x:c r="E16" s="2"/>
      <x:c r="F16" s="2"/>
      <x:c r="G16" s="2"/>
      <x:c r="H16" s="2"/>
      <x:c r="I16" s="2"/>
      <x:c r="J16" s="2"/>
      <x:c r="K16" s="37"/>
    </x:row>
    <x:row r="17" ht="15" hidden="0" customHeight="1">
      <x:c r="A17" s="2" t="str">
        <x:v>Множитель зелья</x:v>
      </x:c>
      <x:c r="B17" s="10" t="n">
        <x:f>VLOOKUP(B7,$H$6:$K$9,4,FALSE)</x:f>
        <x:v>2</x:v>
      </x:c>
      <x:c r="C17" s="2"/>
      <x:c r="D17" s="2"/>
      <x:c r="E17" s="2"/>
      <x:c r="F17" s="2"/>
      <x:c r="G17" s="2"/>
      <x:c r="H17" s="2"/>
      <x:c r="I17" s="2"/>
      <x:c r="J17" s="2"/>
      <x:c r="K17" s="37"/>
    </x:row>
    <x:row r="18" ht="15" hidden="0" customHeight="1">
      <x:c r="A18" s="2" t="str">
        <x:v>Gear Score</x:v>
      </x:c>
      <x:c r="B18" s="22" t="n">
        <x:f>INT(B14^3*(B16+B8/10000+B9*0.1)*(B10+1))</x:f>
        <x:v>48150</x:v>
      </x:c>
      <x:c r="C18" s="2"/>
      <x:c r="D18" s="2"/>
      <x:c r="E18" s="2"/>
      <x:c r="F18" s="2"/>
      <x:c r="G18" s="2"/>
      <x:c r="H18" s="2"/>
      <x:c r="I18" s="2"/>
      <x:c r="J18" s="2"/>
      <x:c r="K18" s="37"/>
    </x:row>
    <x:row r="19" ht="15" hidden="0" customHeight="1">
      <x:c r="A19" s="2" t="str">
        <x:v>Базовая цена</x:v>
      </x:c>
      <x:c r="B19" s="22" t="n">
        <x:f>2000*B14*B16</x:f>
        <x:v>80000</x:v>
      </x:c>
      <x:c r="C19" s="2"/>
      <x:c r="D19" s="2"/>
      <x:c r="E19" s="2"/>
      <x:c r="F19" s="2"/>
      <x:c r="G19" s="2"/>
      <x:c r="H19" s="2"/>
      <x:c r="I19" s="2"/>
      <x:c r="J19" s="2"/>
      <x:c r="K19" s="37"/>
    </x:row>
    <x:row r="20" ht="15" hidden="0" customHeight="1">
      <x:c r="A20" s="2" t="str">
        <x:v>Цена продажи</x:v>
      </x:c>
      <x:c r="B20" s="22" t="n">
        <x:f>B19/10</x:f>
        <x:v>8000</x:v>
      </x:c>
      <x:c r="C20" s="2"/>
      <x:c r="D20" s="2"/>
      <x:c r="E20" s="2"/>
      <x:c r="F20" s="2"/>
      <x:c r="G20" s="2"/>
      <x:c r="H20" s="2"/>
      <x:c r="I20" s="2"/>
      <x:c r="J20" s="2"/>
      <x:c r="K20" s="37"/>
    </x:row>
    <x:row r="21" ht="15" hidden="0" customHeight="1">
      <x:c r="A21" s="2" t="str">
        <x:v>Стат от заточки</x:v>
      </x:c>
      <x:c r="B21" s="22" t="n">
        <x:f>INT(B11*B12)</x:f>
        <x:v>216</x:v>
      </x:c>
      <x:c r="C21" s="2"/>
      <x:c r="D21" s="2"/>
      <x:c r="E21" s="2"/>
      <x:c r="F21" s="2"/>
      <x:c r="G21" s="2"/>
      <x:c r="H21" s="2"/>
      <x:c r="I21" s="2"/>
      <x:c r="J21" s="2"/>
      <x:c r="K21" s="37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37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37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37"/>
    </x:row>
    <x:row r="25" ht="15" hidden="0" customHeight="1">
      <x:c r="A25" s="8" t="str">
        <x:v>Каталог формул</x:v>
      </x:c>
      <x:c r="B25" s="8" t="str">
        <x:v>Выражение</x:v>
      </x:c>
      <x:c r="C25" s="8" t="str">
        <x:v>Статус</x:v>
      </x:c>
      <x:c r="D25" s="8" t="str"/>
      <x:c r="E25" s="2"/>
      <x:c r="F25" s="2"/>
      <x:c r="G25" s="2"/>
      <x:c r="H25" s="2"/>
      <x:c r="I25" s="2"/>
      <x:c r="J25" s="2"/>
      <x:c r="K25" s="37"/>
    </x:row>
    <x:row r="26" ht="15" hidden="0" customHeight="1">
      <x:c r="A26" s="2" t="str">
        <x:v>Эффективный тир легендарного предмета</x:v>
      </x:c>
      <x:c r="B26" s="19" t="str">
        <x:v>baseTier + 2</x:v>
      </x:c>
      <x:c r="C26" s="2" t="str">
        <x:v>Формула</x:v>
      </x:c>
      <x:c r="D26" s="23" t="str"/>
      <x:c r="E26" s="2"/>
      <x:c r="F26" s="2"/>
      <x:c r="G26" s="2"/>
      <x:c r="H26" s="2"/>
      <x:c r="I26" s="2"/>
      <x:c r="J26" s="2"/>
      <x:c r="K26" s="37"/>
    </x:row>
    <x:row r="27" ht="15" hidden="0" customHeight="1">
      <x:c r="A27" s="2" t="str">
        <x:v>Gear Score</x:v>
      </x:c>
      <x:c r="B27" s="19" t="str">
        <x:v>floor(tier³ × (qualityMultiplier + magicPower/10000 + socketTierSum×0.1) × (enhancement+1))</x:v>
      </x:c>
      <x:c r="C27" s="2" t="str">
        <x:v>Формула</x:v>
      </x:c>
      <x:c r="D27" s="23" t="str"/>
      <x:c r="E27" s="2"/>
      <x:c r="F27" s="2"/>
      <x:c r="G27" s="2"/>
      <x:c r="H27" s="2"/>
      <x:c r="I27" s="2"/>
      <x:c r="J27" s="2"/>
      <x:c r="K27" s="37"/>
    </x:row>
    <x:row r="28" ht="15" hidden="0" customHeight="1">
      <x:c r="A28" s="2" t="str">
        <x:v>Базовая цена экипировки</x:v>
      </x:c>
      <x:c r="B28" s="19" t="str">
        <x:v>2000 × effectiveTier × priceQualityMultiplier</x:v>
      </x:c>
      <x:c r="C28" s="2" t="str">
        <x:v>Формула</x:v>
      </x:c>
      <x:c r="D28" s="23" t="str"/>
      <x:c r="E28" s="2"/>
      <x:c r="F28" s="2"/>
      <x:c r="G28" s="2"/>
      <x:c r="H28" s="2"/>
      <x:c r="I28" s="2"/>
      <x:c r="J28" s="2"/>
      <x:c r="K28" s="37"/>
    </x:row>
    <x:row r="29" ht="15" hidden="0" customHeight="1">
      <x:c r="A29" s="2" t="str">
        <x:v>Цена продажи</x:v>
      </x:c>
      <x:c r="B29" s="19" t="str">
        <x:v>basePrice / 10</x:v>
      </x:c>
      <x:c r="C29" s="2" t="str">
        <x:v>Формула</x:v>
      </x:c>
      <x:c r="D29" s="23" t="str"/>
      <x:c r="E29" s="2"/>
      <x:c r="F29" s="2"/>
      <x:c r="G29" s="2"/>
      <x:c r="H29" s="2"/>
      <x:c r="I29" s="2"/>
      <x:c r="J29" s="2"/>
      <x:c r="K29" s="37"/>
    </x:row>
    <x:row r="30" ht="15" hidden="0" customHeight="1">
      <x:c r="A30" s="2" t="str">
        <x:v>Стат от заточки</x:v>
      </x:c>
      <x:c r="B30" s="19" t="str">
        <x:v>floor(templateEnhancement × serverMultiplier)</x:v>
      </x:c>
      <x:c r="C30" s="2" t="str">
        <x:v>Требуется множитель</x:v>
      </x:c>
      <x:c r="D30" s="23" t="str"/>
      <x:c r="E30" s="2"/>
      <x:c r="F30" s="2"/>
      <x:c r="G30" s="2"/>
      <x:c r="H30" s="2"/>
      <x:c r="I30" s="2"/>
      <x:c r="J30" s="2"/>
      <x:c r="K30" s="37"/>
    </x:row>
    <x:row r="31" ht="15" hidden="0" customHeight="1">
      <x:c r="A31" s="2" t="str">
        <x:v>Снижение требований</x:v>
      </x:c>
      <x:c r="B31" s="19" t="str">
        <x:v>ceil(baseRequirement × (1 − reduction/100))</x:v>
      </x:c>
      <x:c r="C31" s="2" t="str">
        <x:v>Формула</x:v>
      </x:c>
      <x:c r="D31" s="23" t="str"/>
      <x:c r="E31" s="2"/>
      <x:c r="F31" s="2"/>
      <x:c r="G31" s="2"/>
      <x:c r="H31" s="2"/>
      <x:c r="I31" s="2"/>
      <x:c r="J31" s="2"/>
      <x:c r="K31" s="37"/>
    </x:row>
    <x:row r="32" ht="15" hidden="0" customHeight="1">
      <x:c r="A32" s="2" t="str">
        <x:v>Слоты сокетов</x:v>
      </x:c>
      <x:c r="B32" s="19" t="str">
        <x:v>оружие 2; броня 4; прочее 0</x:v>
      </x:c>
      <x:c r="C32" s="2" t="str">
        <x:v>Формула</x:v>
      </x:c>
      <x:c r="D32" s="23" t="str"/>
      <x:c r="E32" s="2"/>
      <x:c r="F32" s="2"/>
      <x:c r="G32" s="2"/>
      <x:c r="H32" s="2"/>
      <x:c r="I32" s="2"/>
      <x:c r="J32" s="2"/>
      <x:c r="K32" s="37"/>
    </x:row>
    <x:row r="33" ht="15" hidden="0" customHeight="1">
      <x:c r="A33" s="2" t="str">
        <x:v>Максимум магических свойств</x:v>
      </x:c>
      <x:c r="B33" s="19" t="str">
        <x:v>rare 2; epic 3; legendary 3; common 0</x:v>
      </x:c>
      <x:c r="C33" s="2" t="str">
        <x:v>Формула</x:v>
      </x:c>
      <x:c r="D33" s="23" t="str"/>
      <x:c r="E33" s="2"/>
      <x:c r="F33" s="2"/>
      <x:c r="G33" s="2"/>
      <x:c r="H33" s="2"/>
      <x:c r="I33" s="2"/>
      <x:c r="J33" s="2"/>
      <x:c r="K33" s="37"/>
    </x:row>
    <x:row r="34" ht="15" hidden="0" customHeight="1">
      <x:c r="A34" s="2" t="str">
        <x:v>Финальный урон/попадание/защита</x:v>
      </x:c>
      <x:c r="B34" s="19" t="str">
        <x:v>Формула не установлена</x:v>
      </x:c>
      <x:c r="C34" s="2" t="str">
        <x:v>Не установлено</x:v>
      </x:c>
      <x:c r="D34" s="23" t="str"/>
      <x:c r="E34" s="2"/>
      <x:c r="F34" s="2"/>
      <x:c r="G34" s="2"/>
      <x:c r="H34" s="2"/>
      <x:c r="I34" s="2"/>
      <x:c r="J34" s="2"/>
      <x:c r="K34" s="37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37"/>
    </x:row>
    <x:row r="36" ht="15" hidden="0" customHeight="1">
      <x:c r="A36" s="33" t="str">
        <x:v>Важно</x:v>
      </x:c>
      <x:c r="B36" s="33" t="str">
        <x:v>Формулы конечного урона, попадания, уклонения и снижения урона в этой таблице не определены.</x:v>
      </x:c>
      <x:c r="C36" s="33" t="str">
        <x:v>Не установлено</x:v>
      </x:c>
      <x:c r="D36" s="33" t="str"/>
      <x:c r="E36" s="2"/>
      <x:c r="F36" s="2"/>
      <x:c r="G36" s="2"/>
      <x:c r="H36" s="2"/>
      <x:c r="I36" s="2"/>
      <x:c r="J36" s="2"/>
      <x:c r="K36" s="37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37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37"/>
    </x:row>
  </x:sheetData>
  <x:dataValidations count="3">
    <x:dataValidation type="whole" operator="between" sqref="B6">
      <x:formula1>1</x:formula1>
      <x:formula2>12</x:formula2>
    </x:dataValidation>
    <x:dataValidation type="list" sqref="B7">
      <x:formula1>"common,rare,epic,legendary"</x:formula1>
    </x:dataValidation>
    <x:dataValidation type="whole" operator="between" sqref="B10">
      <x:formula1>0</x:formula1>
      <x:formula2>12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E4E9B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30" hidden="0" customWidth="1"/>
    <x:col min="3" max="3" width="57" hidden="0" customWidth="1"/>
    <x:col min="4" max="4" width="27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</x:row>
    <x:row r="2" ht="18" hidden="0" customHeight="1">
      <x:c r="A2" s="3" t="str">
        <x:v>Заточка, сокеты и сферы</x:v>
      </x:c>
      <x:c r="B2" s="3"/>
      <x:c r="C2" s="3"/>
      <x:c r="D2" s="3"/>
      <x:c r="E2" s="3"/>
      <x:c r="F2" s="3"/>
      <x:c r="G2" s="3"/>
      <x:c r="H2" s="3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</x:row>
    <x:row r="5" ht="15" hidden="0" customHeight="1">
      <x:c r="A5" s="14" t="str">
        <x:v>Заточка</x:v>
      </x:c>
      <x:c r="B5" s="14" t="str">
        <x:v>Значение / поле</x:v>
      </x:c>
      <x:c r="C5" s="14" t="str">
        <x:v>Комментарий</x:v>
      </x:c>
      <x:c r="D5" s="14" t="str"/>
      <x:c r="E5" s="2"/>
      <x:c r="F5" s="2"/>
      <x:c r="G5" s="2"/>
      <x:c r="H5" s="2"/>
    </x:row>
    <x:row r="6" ht="15" hidden="0" customHeight="1">
      <x:c r="A6" s="2" t="str">
        <x:v>Максимальный уровень</x:v>
      </x:c>
      <x:c r="B6" s="2" t="n">
        <x:v>12</x:v>
      </x:c>
      <x:c r="C6" s="2" t="str">
        <x:v>Фиксированный предел</x:v>
      </x:c>
      <x:c r="D6" s="23" t="str"/>
      <x:c r="E6" s="2"/>
      <x:c r="F6" s="2"/>
      <x:c r="G6" s="2"/>
      <x:c r="H6" s="2"/>
    </x:row>
    <x:row r="7" ht="15" hidden="0" customHeight="1">
      <x:c r="A7" s="2" t="str">
        <x:v>Обычный кристалл: оружие</x:v>
      </x:c>
      <x:c r="B7" s="2" t="n">
        <x:v>2</x:v>
      </x:c>
      <x:c r="C7" s="2" t="str">
        <x:v>Количество на одну попытку</x:v>
      </x:c>
      <x:c r="D7" s="23" t="str"/>
      <x:c r="E7" s="2"/>
      <x:c r="F7" s="2"/>
      <x:c r="G7" s="2"/>
      <x:c r="H7" s="2"/>
    </x:row>
    <x:row r="8" ht="15" hidden="0" customHeight="1">
      <x:c r="A8" s="2" t="str">
        <x:v>Обычный кристалл: прочее</x:v>
      </x:c>
      <x:c r="B8" s="2" t="n">
        <x:v>1</x:v>
      </x:c>
      <x:c r="C8" s="2" t="str">
        <x:v>Количество на одну попытку</x:v>
      </x:c>
      <x:c r="D8" s="23" t="str"/>
      <x:c r="E8" s="2"/>
      <x:c r="F8" s="2"/>
      <x:c r="G8" s="2"/>
      <x:c r="H8" s="2"/>
    </x:row>
    <x:row r="9" ht="15" hidden="0" customHeight="1">
      <x:c r="A9" s="2" t="str">
        <x:v>Обычный кристалл</x:v>
      </x:c>
      <x:c r="B9" s="2" t="str">
        <x:v>world.enhancement.crystal</x:v>
      </x:c>
      <x:c r="C9" s="2" t="str">
        <x:v>Шанс не задан</x:v>
      </x:c>
      <x:c r="D9" s="23" t="str"/>
      <x:c r="E9" s="2"/>
      <x:c r="F9" s="2"/>
      <x:c r="G9" s="2"/>
      <x:c r="H9" s="2"/>
    </x:row>
    <x:row r="10" ht="15" hidden="0" customHeight="1">
      <x:c r="A10" s="2" t="str">
        <x:v>Fortitude</x:v>
      </x:c>
      <x:c r="B10" s="2" t="str">
        <x:v>world.enhancement.fortitude</x:v>
      </x:c>
      <x:c r="C10" s="2" t="str">
        <x:v>Шанс не задан</x:v>
      </x:c>
      <x:c r="D10" s="23" t="str"/>
      <x:c r="E10" s="2"/>
      <x:c r="F10" s="2"/>
      <x:c r="G10" s="2"/>
      <x:c r="H10" s="2"/>
    </x:row>
    <x:row r="11" ht="15" hidden="0" customHeight="1">
      <x:c r="A11" s="2" t="str">
        <x:v>Harmony</x:v>
      </x:c>
      <x:c r="B11" s="2" t="str">
        <x:v>world.enhancement.harmony</x:v>
      </x:c>
      <x:c r="C11" s="2" t="str">
        <x:v>Шанс не задан</x:v>
      </x:c>
      <x:c r="D11" s="23" t="str"/>
      <x:c r="E11" s="2"/>
      <x:c r="F11" s="2"/>
      <x:c r="G11" s="2"/>
      <x:c r="H11" s="2"/>
    </x:row>
    <x:row r="12" ht="15" hidden="0" customHeight="1">
      <x:c r="A12" s="2" t="str">
        <x:v>Risk</x:v>
      </x:c>
      <x:c r="B12" s="2" t="str">
        <x:v>world.enhancement.risk</x:v>
      </x:c>
      <x:c r="C12" s="2" t="str">
        <x:v>Шанс не задан</x:v>
      </x:c>
      <x:c r="D12" s="23" t="str"/>
      <x:c r="E12" s="2"/>
      <x:c r="F12" s="2"/>
      <x:c r="G12" s="2"/>
      <x:c r="H12" s="2"/>
    </x:row>
    <x:row r="13" ht="15" hidden="0" customHeight="1">
      <x:c r="A13" s="2" t="str">
        <x:v>Эссенция</x:v>
      </x:c>
      <x:c r="B13" s="2" t="n">
        <x:v>100</x:v>
      </x:c>
      <x:c r="C13" s="2" t="str">
        <x:v>Шанс 100%; допустимый уровень зависит от эссенции</x:v>
      </x:c>
      <x:c r="D13" s="23" t="str"/>
      <x:c r="E13" s="2"/>
      <x:c r="F13" s="2"/>
      <x:c r="G13" s="2"/>
      <x:c r="H13" s="2"/>
    </x:row>
    <x:row r="14" ht="15" hidden="0" customHeight="1">
      <x:c r="A14" s="2" t="str">
        <x:v>Результат попытки</x:v>
      </x:c>
      <x:c r="B14" s="2" t="str">
        <x:v>выше / без изменения / ниже</x:v>
      </x:c>
      <x:c r="C14" s="2" t="str">
        <x:v>Успех, нейтральный результат или потеря уровня</x:v>
      </x:c>
      <x:c r="D14" s="23" t="str"/>
      <x:c r="E14" s="2"/>
      <x:c r="F14" s="2"/>
      <x:c r="G14" s="2"/>
      <x:c r="H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</x:row>
    <x:row r="16" ht="15" hidden="0" customHeight="1">
      <x:c r="A16" s="8" t="str">
        <x:v>Тир</x:v>
      </x:c>
      <x:c r="B16" s="8" t="str">
        <x:v>Оружие: 1-й</x:v>
      </x:c>
      <x:c r="C16" s="8" t="str">
        <x:v>Оружие: 2-й</x:v>
      </x:c>
      <x:c r="D16" s="8" t="str">
        <x:v>Броня: 1-й</x:v>
      </x:c>
      <x:c r="E16" s="8" t="str">
        <x:v>Броня: 2-й</x:v>
      </x:c>
      <x:c r="F16" s="8" t="str">
        <x:v>Броня: 3-й</x:v>
      </x:c>
      <x:c r="G16" s="8" t="str">
        <x:v>Броня: 4-й</x:v>
      </x:c>
      <x:c r="H16" s="2"/>
    </x:row>
    <x:row r="17" ht="15" hidden="0" customHeight="1">
      <x:c r="A17" s="2" t="n">
        <x:v>1</x:v>
      </x:c>
      <x:c r="B17" s="34" t="n">
        <x:v>25</x:v>
      </x:c>
      <x:c r="C17" s="34" t="n">
        <x:v>50</x:v>
      </x:c>
      <x:c r="D17" s="34" t="n">
        <x:v>5</x:v>
      </x:c>
      <x:c r="E17" s="34" t="n">
        <x:v>10</x:v>
      </x:c>
      <x:c r="F17" s="34" t="n">
        <x:v>15</x:v>
      </x:c>
      <x:c r="G17" s="34" t="n">
        <x:v>50</x:v>
      </x:c>
      <x:c r="H17" s="2"/>
    </x:row>
    <x:row r="18" ht="15" hidden="0" customHeight="1">
      <x:c r="A18" s="2" t="n">
        <x:v>2</x:v>
      </x:c>
      <x:c r="B18" s="34" t="n">
        <x:v>50</x:v>
      </x:c>
      <x:c r="C18" s="34" t="n">
        <x:v>100</x:v>
      </x:c>
      <x:c r="D18" s="34" t="n">
        <x:v>10</x:v>
      </x:c>
      <x:c r="E18" s="34" t="n">
        <x:v>20</x:v>
      </x:c>
      <x:c r="F18" s="34" t="n">
        <x:v>30</x:v>
      </x:c>
      <x:c r="G18" s="34" t="n">
        <x:v>100</x:v>
      </x:c>
      <x:c r="H18" s="2"/>
    </x:row>
    <x:row r="19" ht="15" hidden="0" customHeight="1">
      <x:c r="A19" s="2" t="n">
        <x:v>3</x:v>
      </x:c>
      <x:c r="B19" s="34" t="n">
        <x:v>100</x:v>
      </x:c>
      <x:c r="C19" s="34" t="n">
        <x:v>200</x:v>
      </x:c>
      <x:c r="D19" s="34" t="n">
        <x:v>10</x:v>
      </x:c>
      <x:c r="E19" s="34" t="n">
        <x:v>25</x:v>
      </x:c>
      <x:c r="F19" s="34" t="n">
        <x:v>75</x:v>
      </x:c>
      <x:c r="G19" s="34" t="n">
        <x:v>200</x:v>
      </x:c>
      <x:c r="H19" s="2"/>
    </x:row>
    <x:row r="20" ht="15" hidden="0" customHeight="1">
      <x:c r="A20" s="2" t="n">
        <x:v>4</x:v>
      </x:c>
      <x:c r="B20" s="34" t="n">
        <x:v>150</x:v>
      </x:c>
      <x:c r="C20" s="34" t="n">
        <x:v>300</x:v>
      </x:c>
      <x:c r="D20" s="34" t="n">
        <x:v>25</x:v>
      </x:c>
      <x:c r="E20" s="34" t="n">
        <x:v>50</x:v>
      </x:c>
      <x:c r="F20" s="34" t="n">
        <x:v>100</x:v>
      </x:c>
      <x:c r="G20" s="34" t="n">
        <x:v>300</x:v>
      </x:c>
      <x:c r="H20" s="2"/>
    </x:row>
    <x:row r="21" ht="15" hidden="0" customHeight="1">
      <x:c r="A21" s="2" t="n">
        <x:v>5</x:v>
      </x:c>
      <x:c r="B21" s="34" t="n">
        <x:v>175</x:v>
      </x:c>
      <x:c r="C21" s="34" t="n">
        <x:v>350</x:v>
      </x:c>
      <x:c r="D21" s="34" t="n">
        <x:v>25</x:v>
      </x:c>
      <x:c r="E21" s="34" t="n">
        <x:v>50</x:v>
      </x:c>
      <x:c r="F21" s="34" t="n">
        <x:v>125</x:v>
      </x:c>
      <x:c r="G21" s="34" t="n">
        <x:v>350</x:v>
      </x:c>
      <x:c r="H21" s="2"/>
    </x:row>
    <x:row r="22" ht="15" hidden="0" customHeight="1">
      <x:c r="A22" s="2" t="n">
        <x:v>6</x:v>
      </x:c>
      <x:c r="B22" s="34" t="n">
        <x:v>200</x:v>
      </x:c>
      <x:c r="C22" s="34" t="n">
        <x:v>400</x:v>
      </x:c>
      <x:c r="D22" s="34" t="n">
        <x:v>30</x:v>
      </x:c>
      <x:c r="E22" s="34" t="n">
        <x:v>75</x:v>
      </x:c>
      <x:c r="F22" s="34" t="n">
        <x:v>125</x:v>
      </x:c>
      <x:c r="G22" s="34" t="n">
        <x:v>400</x:v>
      </x:c>
      <x:c r="H22" s="2"/>
    </x:row>
    <x:row r="23" ht="15" hidden="0" customHeight="1">
      <x:c r="A23" s="2" t="n">
        <x:v>7</x:v>
      </x:c>
      <x:c r="B23" s="34" t="n">
        <x:v>225</x:v>
      </x:c>
      <x:c r="C23" s="34" t="n">
        <x:v>450</x:v>
      </x:c>
      <x:c r="D23" s="34" t="n">
        <x:v>30</x:v>
      </x:c>
      <x:c r="E23" s="34" t="n">
        <x:v>75</x:v>
      </x:c>
      <x:c r="F23" s="34" t="n">
        <x:v>150</x:v>
      </x:c>
      <x:c r="G23" s="34" t="n">
        <x:v>450</x:v>
      </x:c>
      <x:c r="H23" s="2"/>
    </x:row>
    <x:row r="24" ht="15" hidden="0" customHeight="1">
      <x:c r="A24" s="2" t="n">
        <x:v>8</x:v>
      </x:c>
      <x:c r="B24" s="34" t="n">
        <x:v>250</x:v>
      </x:c>
      <x:c r="C24" s="34" t="n">
        <x:v>500</x:v>
      </x:c>
      <x:c r="D24" s="34" t="n">
        <x:v>50</x:v>
      </x:c>
      <x:c r="E24" s="34" t="n">
        <x:v>100</x:v>
      </x:c>
      <x:c r="F24" s="34" t="n">
        <x:v>150</x:v>
      </x:c>
      <x:c r="G24" s="34" t="n">
        <x:v>500</x:v>
      </x:c>
      <x:c r="H24" s="2"/>
    </x:row>
    <x:row r="25" ht="15" hidden="0" customHeight="1">
      <x:c r="A25" s="2" t="n">
        <x:v>9</x:v>
      </x:c>
      <x:c r="B25" s="34" t="n">
        <x:v>300</x:v>
      </x:c>
      <x:c r="C25" s="34" t="n">
        <x:v>600</x:v>
      </x:c>
      <x:c r="D25" s="34" t="n">
        <x:v>50</x:v>
      </x:c>
      <x:c r="E25" s="34" t="n">
        <x:v>100</x:v>
      </x:c>
      <x:c r="F25" s="34" t="n">
        <x:v>200</x:v>
      </x:c>
      <x:c r="G25" s="34" t="n">
        <x:v>600</x:v>
      </x:c>
      <x:c r="H25" s="2"/>
    </x:row>
    <x:row r="26" ht="15" hidden="0" customHeight="1">
      <x:c r="A26" s="2" t="n">
        <x:v>10</x:v>
      </x:c>
      <x:c r="B26" s="34" t="n">
        <x:v>400</x:v>
      </x:c>
      <x:c r="C26" s="34" t="n">
        <x:v>800</x:v>
      </x:c>
      <x:c r="D26" s="34" t="n">
        <x:v>75</x:v>
      </x:c>
      <x:c r="E26" s="34" t="n">
        <x:v>150</x:v>
      </x:c>
      <x:c r="F26" s="34" t="n">
        <x:v>250</x:v>
      </x:c>
      <x:c r="G26" s="34" t="n">
        <x:v>800</x:v>
      </x:c>
      <x:c r="H26" s="2"/>
    </x:row>
    <x:row r="27" ht="15" hidden="0" customHeight="1">
      <x:c r="A27" s="2" t="n">
        <x:v>11</x:v>
      </x:c>
      <x:c r="B27" s="34" t="n">
        <x:v>500</x:v>
      </x:c>
      <x:c r="C27" s="34" t="n">
        <x:v>1000</x:v>
      </x:c>
      <x:c r="D27" s="34" t="n">
        <x:v>100</x:v>
      </x:c>
      <x:c r="E27" s="34" t="n">
        <x:v>200</x:v>
      </x:c>
      <x:c r="F27" s="34" t="n">
        <x:v>300</x:v>
      </x:c>
      <x:c r="G27" s="34" t="n">
        <x:v>1000</x:v>
      </x:c>
      <x:c r="H27" s="2"/>
    </x:row>
    <x:row r="28" ht="15" hidden="0" customHeight="1">
      <x:c r="A28" s="2" t="n">
        <x:v>12</x:v>
      </x:c>
      <x:c r="B28" s="34" t="n">
        <x:v>1000</x:v>
      </x:c>
      <x:c r="C28" s="34" t="n">
        <x:v>2000</x:v>
      </x:c>
      <x:c r="D28" s="34" t="n">
        <x:v>200</x:v>
      </x:c>
      <x:c r="E28" s="34" t="n">
        <x:v>400</x:v>
      </x:c>
      <x:c r="F28" s="34" t="n">
        <x:v>600</x:v>
      </x:c>
      <x:c r="G28" s="34" t="n">
        <x:v>2000</x:v>
      </x:c>
      <x:c r="H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</x:row>
    <x:row r="30" ht="15" hidden="0" customHeight="1">
      <x:c r="A30" s="30" t="str">
        <x:v>Сфера</x:v>
      </x:c>
      <x:c r="B30" s="30" t="str">
        <x:v>Основной базовый бонус, %</x:v>
      </x:c>
      <x:c r="C30" s="30" t="str">
        <x:v>Дополнительный бонус</x:v>
      </x:c>
      <x:c r="D30" s="2"/>
      <x:c r="E30" s="30" t="str">
        <x:v>Длительность</x:v>
      </x:c>
      <x:c r="F30" s="30" t="str">
        <x:v>Множитель</x:v>
      </x:c>
      <x:c r="G30" s="2"/>
      <x:c r="H30" s="2"/>
    </x:row>
    <x:row r="31" ht="15" hidden="0" customHeight="1">
      <x:c r="A31" s="2" t="str">
        <x:v>Дроп</x:v>
      </x:c>
      <x:c r="B31" s="2" t="n">
        <x:v>75</x:v>
      </x:c>
      <x:c r="C31" s="2" t="n">
        <x:v>0</x:v>
      </x:c>
      <x:c r="D31" s="2"/>
      <x:c r="E31" s="2" t="str">
        <x:v>≤ 0.5 часа</x:v>
      </x:c>
      <x:c r="F31" s="2" t="n">
        <x:v>1</x:v>
      </x:c>
      <x:c r="G31" s="2"/>
      <x:c r="H31" s="2"/>
    </x:row>
    <x:row r="32" ht="15" hidden="0" customHeight="1">
      <x:c r="A32" s="2" t="str">
        <x:v>Опыт</x:v>
      </x:c>
      <x:c r="B32" s="2" t="n">
        <x:v>150</x:v>
      </x:c>
      <x:c r="C32" s="2" t="n">
        <x:v>0</x:v>
      </x:c>
      <x:c r="D32" s="2"/>
      <x:c r="E32" s="2" t="str">
        <x:v>&gt; 0.5 часа</x:v>
      </x:c>
      <x:c r="F32" s="2" t="n">
        <x:v>1.1</x:v>
      </x:c>
      <x:c r="G32" s="2"/>
      <x:c r="H32" s="2"/>
    </x:row>
    <x:row r="33" ht="15" hidden="0" customHeight="1">
      <x:c r="A33" s="2" t="str">
        <x:v>Материалы</x:v>
      </x:c>
      <x:c r="B33" s="2" t="n">
        <x:v>50</x:v>
      </x:c>
      <x:c r="C33" s="2" t="n">
        <x:v>0</x:v>
      </x:c>
      <x:c r="D33" s="2"/>
      <x:c r="E33" s="2" t="str">
        <x:v>&gt; 2.5 часа</x:v>
      </x:c>
      <x:c r="F33" s="2" t="n">
        <x:v>1.5</x:v>
      </x:c>
      <x:c r="G33" s="2"/>
      <x:c r="H33" s="2"/>
    </x:row>
    <x:row r="34" ht="15" hidden="0" customHeight="1">
      <x:c r="A34" s="2" t="str">
        <x:v>Серебро</x:v>
      </x:c>
      <x:c r="B34" s="2" t="n">
        <x:v>300</x:v>
      </x:c>
      <x:c r="C34" s="2" t="n">
        <x:v>0</x:v>
      </x:c>
      <x:c r="D34" s="2"/>
      <x:c r="E34" s="2" t="str">
        <x:v>&gt; 5 часов</x:v>
      </x:c>
      <x:c r="F34" s="2" t="n">
        <x:v>2</x:v>
      </x:c>
      <x:c r="G34" s="2"/>
      <x:c r="H34" s="2"/>
    </x:row>
    <x:row r="35" ht="15" hidden="0" customHeight="1">
      <x:c r="A35" s="2" t="str">
        <x:v>Ярость</x:v>
      </x:c>
      <x:c r="B35" s="2" t="n">
        <x:v>20</x:v>
      </x:c>
      <x:c r="C35" s="2" t="n">
        <x:v>2</x:v>
      </x:c>
      <x:c r="D35" s="2"/>
      <x:c r="E35" s="2" t="str">
        <x:v>&gt; 7.5 часа</x:v>
      </x:c>
      <x:c r="F35" s="2" t="n">
        <x:v>2.5</x:v>
      </x:c>
      <x:c r="G35" s="2"/>
      <x:c r="H35" s="2"/>
    </x:row>
    <x:row r="36" ht="15" hidden="0" customHeight="1">
      <x:c r="A36" s="2"/>
      <x:c r="B36" s="2"/>
      <x:c r="C36" s="2"/>
      <x:c r="D36" s="2"/>
      <x:c r="E36" s="2" t="str">
        <x:v>&gt; 10 часов</x:v>
      </x:c>
      <x:c r="F36" s="2" t="n">
        <x:v>3</x:v>
      </x:c>
      <x:c r="G36" s="2"/>
      <x:c r="H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</x:row>
    <x:row r="38" ht="15" hidden="0" customHeight="1">
      <x:c r="A38" s="14" t="str">
        <x:v>Правило</x:v>
      </x:c>
      <x:c r="B38" s="14" t="str">
        <x:v>Итог</x:v>
      </x:c>
      <x:c r="C38" s="14" t="str"/>
      <x:c r="D38" s="14" t="str"/>
      <x:c r="E38" s="14" t="str"/>
      <x:c r="F38" s="14" t="str"/>
      <x:c r="G38" s="2"/>
      <x:c r="H38" s="2"/>
    </x:row>
    <x:row r="39" ht="15" hidden="0" customHeight="1">
      <x:c r="A39" s="2" t="str">
        <x:v>Бонус сферы</x:v>
      </x:c>
      <x:c r="B39" s="2" t="str">
        <x:v>baseBonus × durationMultiplier</x:v>
      </x:c>
      <x:c r="C39" s="23" t="str"/>
      <x:c r="D39" s="2"/>
      <x:c r="E39" s="2"/>
      <x:c r="F39" s="2"/>
      <x:c r="G39" s="2"/>
      <x:c r="H39" s="2"/>
    </x:row>
    <x:row r="40" ht="15" hidden="0" customHeight="1">
      <x:c r="A40" s="2" t="str">
        <x:v>Шанс заточки</x:v>
      </x:c>
      <x:c r="B40" s="2" t="str">
        <x:v>Зависит от типа усиления; таблица процентов не задана</x:v>
      </x:c>
      <x:c r="C40" s="23" t="str"/>
      <x:c r="D40" s="2"/>
      <x:c r="E40" s="2"/>
      <x:c r="F40" s="2"/>
      <x:c r="G40" s="2"/>
      <x:c r="H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E7D62"/>
  </x:sheetPr>
  <x:sheetViews>
    <x:sheetView showGridLines="0" workbookViewId="0">
      <x:pane ySplit="25" topLeftCell="A26" activePane="bottomLeft" state="frozen"/>
    </x:sheetView>
  </x:sheetViews>
  <x:sheetFormatPr defaultRowHeight="15"/>
  <x:cols>
    <x:col min="1" max="1" width="37" hidden="0" customWidth="1"/>
    <x:col min="2" max="2" width="20" hidden="0" customWidth="1"/>
    <x:col min="3" max="3" width="20" hidden="0" customWidth="1"/>
    <x:col min="4" max="4" width="30" hidden="0" customWidth="1"/>
    <x:col min="5" max="5" width="25" hidden="0" customWidth="1"/>
    <x:col min="6" max="6" width="25" hidden="0" customWidth="1"/>
    <x:col min="7" max="7" width="3" hidden="0" customWidth="1"/>
    <x:col min="8" max="8" width="18" hidden="0" customWidth="1"/>
    <x:col min="9" max="9" width="1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18" hidden="0" customHeight="1">
      <x:c r="A2" s="3" t="str">
        <x:v>Прогресс, переплавка и уровни открытия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15" hidden="0" customHeight="1">
      <x:c r="A5" s="8" t="str">
        <x:v>Калькулятор переплавки</x:v>
      </x:c>
      <x:c r="B5" s="8" t="str">
        <x:v>Значение</x:v>
      </x:c>
      <x:c r="C5" s="2"/>
      <x:c r="D5" s="14" t="str">
        <x:v>Формула</x:v>
      </x:c>
      <x:c r="E5" s="14" t="str">
        <x:v>Расшифровка</x:v>
      </x:c>
      <x:c r="F5" s="14" t="str"/>
      <x:c r="G5" s="2"/>
      <x:c r="H5" s="30" t="str">
        <x:v>Коллекция</x:v>
      </x:c>
      <x:c r="I5" s="30" t="str">
        <x:v>Internal bonus</x:v>
      </x:c>
      <x:c r="J5" s="2"/>
    </x:row>
    <x:row r="6" ht="24" hidden="0" customHeight="1">
      <x:c r="A6" s="2" t="str">
        <x:v>Уровень коллекции (1–5)</x:v>
      </x:c>
      <x:c r="B6" s="21" t="n">
        <x:v>3</x:v>
      </x:c>
      <x:c r="C6" s="2"/>
      <x:c r="D6" s="2" t="str">
        <x:v>min((collection+blueprint+master+prop)/100 + 1 + melts, 1000) / 10</x:v>
      </x:c>
      <x:c r="E6" s="19" t="str">
        <x:v>Результат хранится как число процентов 0–100</x:v>
      </x:c>
      <x:c r="F6" s="23" t="str"/>
      <x:c r="G6" s="2"/>
      <x:c r="H6" s="2" t="n">
        <x:v>1</x:v>
      </x:c>
      <x:c r="I6" s="2" t="n">
        <x:v>0</x:v>
      </x:c>
      <x:c r="J6" s="2"/>
    </x:row>
    <x:row r="7" ht="15" hidden="0" customHeight="1">
      <x:c r="A7" s="2" t="str">
        <x:v>Уровень чертежа (1–4)</x:v>
      </x:c>
      <x:c r="B7" s="21" t="n">
        <x:v>3</x:v>
      </x:c>
      <x:c r="C7" s="2"/>
      <x:c r="D7" s="2" t="str">
        <x:v>Базовый шанс</x:v>
      </x:c>
      <x:c r="E7" s="19" t="str">
        <x:v>0.1 процентного пункта</x:v>
      </x:c>
      <x:c r="F7" s="23" t="str"/>
      <x:c r="G7" s="2"/>
      <x:c r="H7" s="2" t="n">
        <x:v>2</x:v>
      </x:c>
      <x:c r="I7" s="2" t="n">
        <x:v>100</x:v>
      </x:c>
      <x:c r="J7" s="2"/>
    </x:row>
    <x:row r="8" ht="15" hidden="0" customHeight="1">
      <x:c r="A8" s="2" t="str">
        <x:v>magicPropBonus мастера</x:v>
      </x:c>
      <x:c r="B8" s="21" t="n">
        <x:v>2</x:v>
      </x:c>
      <x:c r="C8" s="2"/>
      <x:c r="D8" s="2" t="str">
        <x:v>Одно предыдущее плавление</x:v>
      </x:c>
      <x:c r="E8" s="19" t="str">
        <x:v>+0.1 процентного пункта</x:v>
      </x:c>
      <x:c r="F8" s="23" t="str"/>
      <x:c r="G8" s="2"/>
      <x:c r="H8" s="2" t="n">
        <x:v>3</x:v>
      </x:c>
      <x:c r="I8" s="2" t="n">
        <x:v>300</x:v>
      </x:c>
      <x:c r="J8" s="2"/>
    </x:row>
    <x:row r="9" ht="15" hidden="0" customHeight="1">
      <x:c r="A9" s="2" t="str">
        <x:v>Уровень свойства (1–3)</x:v>
      </x:c>
      <x:c r="B9" s="21" t="n">
        <x:v>2</x:v>
      </x:c>
      <x:c r="C9" s="2"/>
      <x:c r="D9" s="2" t="str">
        <x:v>Бонус мастера</x:v>
      </x:c>
      <x:c r="E9" s="19" t="str">
        <x:v>round(magicPropBonus × 100)</x:v>
      </x:c>
      <x:c r="F9" s="23" t="str"/>
      <x:c r="G9" s="2"/>
      <x:c r="H9" s="2" t="n">
        <x:v>4</x:v>
      </x:c>
      <x:c r="I9" s="2" t="n">
        <x:v>500</x:v>
      </x:c>
      <x:c r="J9" s="2"/>
    </x:row>
    <x:row r="10" ht="15" hidden="0" customHeight="1">
      <x:c r="A10" s="2" t="str">
        <x:v>Количество прошлых плавлений</x:v>
      </x:c>
      <x:c r="B10" s="21" t="n">
        <x:v>5</x:v>
      </x:c>
      <x:c r="C10" s="2"/>
      <x:c r="D10" s="2" t="str">
        <x:v>Ограничение</x:v>
      </x:c>
      <x:c r="E10" s="19" t="str">
        <x:v>Не более 100%</x:v>
      </x:c>
      <x:c r="F10" s="23" t="str"/>
      <x:c r="G10" s="2"/>
      <x:c r="H10" s="2" t="n">
        <x:v>5</x:v>
      </x:c>
      <x:c r="I10" s="2" t="n">
        <x:v>1000</x:v>
      </x:c>
      <x:c r="J10" s="2"/>
    </x:row>
    <x:row r="11" ht="15" hidden="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15" hidden="0" customHeight="1">
      <x:c r="A12" s="2" t="str">
        <x:v>Бонус коллекции, internal</x:v>
      </x:c>
      <x:c r="B12" s="10" t="n">
        <x:f>VLOOKUP(B6,$H$6:$I$10,2,FALSE)</x:f>
        <x:v>300</x:v>
      </x:c>
      <x:c r="C12" s="2"/>
      <x:c r="D12" s="2"/>
      <x:c r="E12" s="2"/>
      <x:c r="F12" s="2"/>
      <x:c r="G12" s="2"/>
      <x:c r="H12" s="30" t="str">
        <x:v>Чертёж</x:v>
      </x:c>
      <x:c r="I12" s="30" t="str">
        <x:v>Internal bonus</x:v>
      </x:c>
      <x:c r="J12" s="2"/>
    </x:row>
    <x:row r="13" ht="15" hidden="0" customHeight="1">
      <x:c r="A13" s="2" t="str">
        <x:v>Бонус чертежа, internal</x:v>
      </x:c>
      <x:c r="B13" s="10" t="n">
        <x:f>VLOOKUP(B7,$H$13:$I$16,2,FALSE)</x:f>
        <x:v>300</x:v>
      </x:c>
      <x:c r="C13" s="2"/>
      <x:c r="D13" s="2"/>
      <x:c r="E13" s="2"/>
      <x:c r="F13" s="2"/>
      <x:c r="G13" s="2"/>
      <x:c r="H13" s="2" t="n">
        <x:v>1</x:v>
      </x:c>
      <x:c r="I13" s="2" t="n">
        <x:v>0</x:v>
      </x:c>
      <x:c r="J13" s="2"/>
    </x:row>
    <x:row r="14" ht="15" hidden="0" customHeight="1">
      <x:c r="A14" s="2" t="str">
        <x:v>Бонус мастера, internal</x:v>
      </x:c>
      <x:c r="B14" s="10" t="n">
        <x:f>ROUND(B8*100,0)</x:f>
        <x:v>200</x:v>
      </x:c>
      <x:c r="C14" s="2"/>
      <x:c r="D14" s="2"/>
      <x:c r="E14" s="2"/>
      <x:c r="F14" s="2"/>
      <x:c r="G14" s="2"/>
      <x:c r="H14" s="2" t="n">
        <x:v>2</x:v>
      </x:c>
      <x:c r="I14" s="2" t="n">
        <x:v>100</x:v>
      </x:c>
      <x:c r="J14" s="2"/>
    </x:row>
    <x:row r="15" ht="15" hidden="0" customHeight="1">
      <x:c r="A15" s="2" t="str">
        <x:v>Бонус свойства, internal</x:v>
      </x:c>
      <x:c r="B15" s="10" t="n">
        <x:f>VLOOKUP(B9,$H$19:$I$21,2,FALSE)</x:f>
        <x:v>200</x:v>
      </x:c>
      <x:c r="C15" s="2"/>
      <x:c r="D15" s="2"/>
      <x:c r="E15" s="2"/>
      <x:c r="F15" s="2"/>
      <x:c r="G15" s="2"/>
      <x:c r="H15" s="2" t="n">
        <x:v>3</x:v>
      </x:c>
      <x:c r="I15" s="2" t="n">
        <x:v>300</x:v>
      </x:c>
      <x:c r="J15" s="2"/>
    </x:row>
    <x:row r="16" ht="15" hidden="0" customHeight="1">
      <x:c r="A16" s="2" t="str">
        <x:v>Итоговый шанс</x:v>
      </x:c>
      <x:c r="B16" s="35" t="n">
        <x:f>MIN((B12+B13+B14+B15)/100+1+B10,1000)/10</x:f>
        <x:v>1.6</x:v>
      </x:c>
      <x:c r="C16" s="2"/>
      <x:c r="D16" s="2"/>
      <x:c r="E16" s="2"/>
      <x:c r="F16" s="2"/>
      <x:c r="G16" s="2"/>
      <x:c r="H16" s="2" t="n">
        <x:v>4</x:v>
      </x:c>
      <x:c r="I16" s="2" t="n">
        <x:v>1000</x:v>
      </x:c>
      <x:c r="J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30" t="str">
        <x:v>Свойство</x:v>
      </x:c>
      <x:c r="I18" s="30" t="str">
        <x:v>Internal bonus</x:v>
      </x:c>
      <x:c r="J18" s="2"/>
    </x:row>
    <x:row r="19" ht="15" hidden="0" customHeight="1">
      <x:c r="A19" s="30" t="str">
        <x:v>Бонус опыта основному персонажу</x:v>
      </x:c>
      <x:c r="B19" s="30" t="str">
        <x:v>Значение</x:v>
      </x:c>
      <x:c r="C19" s="2"/>
      <x:c r="D19" s="30" t="str">
        <x:v>Дополнительные правила</x:v>
      </x:c>
      <x:c r="E19" s="30" t="str">
        <x:v>Формула</x:v>
      </x:c>
      <x:c r="F19" s="30" t="str"/>
      <x:c r="G19" s="2"/>
      <x:c r="H19" s="2" t="n">
        <x:v>1</x:v>
      </x:c>
      <x:c r="I19" s="2" t="n">
        <x:v>0</x:v>
      </x:c>
      <x:c r="J19" s="2"/>
    </x:row>
    <x:row r="20" ht="15" hidden="0" customHeight="1">
      <x:c r="A20" s="2" t="str">
        <x:v>Сумма уровней остальных персонажей</x:v>
      </x:c>
      <x:c r="B20" s="21" t="n">
        <x:v>120</x:v>
      </x:c>
      <x:c r="C20" s="2"/>
      <x:c r="D20" s="2" t="str">
        <x:v>Бонус опыта лидеру</x:v>
      </x:c>
      <x:c r="E20" s="2" t="str">
        <x:v>sum(otherCharacterLevels) × (5 + hallLevel) / 10</x:v>
      </x:c>
      <x:c r="F20" s="23" t="str"/>
      <x:c r="G20" s="2"/>
      <x:c r="H20" s="2" t="n">
        <x:v>2</x:v>
      </x:c>
      <x:c r="I20" s="2" t="n">
        <x:v>200</x:v>
      </x:c>
      <x:c r="J20" s="2"/>
    </x:row>
    <x:row r="21" ht="15" hidden="0" customHeight="1">
      <x:c r="A21" s="2" t="str">
        <x:v>Уровень Зала героев</x:v>
      </x:c>
      <x:c r="B21" s="21" t="n">
        <x:v>5</x:v>
      </x:c>
      <x:c r="C21" s="2"/>
      <x:c r="D21" s="2" t="str">
        <x:v>Партийный бонус дропа</x:v>
      </x:c>
      <x:c r="E21" s="2" t="str">
        <x:v>floor(sum(VIP bonusDropRate) / 10)</x:v>
      </x:c>
      <x:c r="F21" s="23" t="str"/>
      <x:c r="G21" s="2"/>
      <x:c r="H21" s="2" t="n">
        <x:v>3</x:v>
      </x:c>
      <x:c r="I21" s="2" t="n">
        <x:v>500</x:v>
      </x:c>
      <x:c r="J21" s="2"/>
    </x:row>
    <x:row r="22" ht="15" hidden="0" customHeight="1">
      <x:c r="A22" s="2" t="str">
        <x:v>Бонус опыта, %</x:v>
      </x:c>
      <x:c r="B22" s="35" t="n">
        <x:f>B20*(5+B21)/10</x:f>
        <x:v>120</x:v>
      </x:c>
      <x:c r="C22" s="2"/>
      <x:c r="D22" s="2" t="str">
        <x:v>Партийный бонус опыта</x:v>
      </x:c>
      <x:c r="E22" s="2" t="str">
        <x:v>floor(sum(VIP bonusExperience) / 10)</x:v>
      </x:c>
      <x:c r="F22" s="23" t="str"/>
      <x:c r="G22" s="2"/>
      <x:c r="H22" s="2"/>
      <x:c r="I22" s="2"/>
      <x:c r="J22" s="2"/>
    </x:row>
    <x:row r="23" ht="15" hidden="0" customHeight="1">
      <x:c r="A23" s="2"/>
      <x:c r="B23" s="2"/>
      <x:c r="C23" s="2"/>
      <x:c r="D23" s="2" t="str">
        <x:v>Партийный бонус серебра</x:v>
      </x:c>
      <x:c r="E23" s="2" t="str">
        <x:v>floor(sum(VIP bonusSilver) / 10)</x:v>
      </x:c>
      <x:c r="F23" s="23" t="str"/>
      <x:c r="G23" s="2"/>
      <x:c r="H23" s="2"/>
      <x:c r="I23" s="2"/>
      <x:c r="J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15" hidden="0" customHeight="1">
      <x:c r="A25" s="8" t="str">
        <x:v>Функция</x:v>
      </x:c>
      <x:c r="B25" s="8" t="str">
        <x:v>Уровень открытия</x:v>
      </x:c>
      <x:c r="C25" s="8" t="str">
        <x:v>Видна с уровня</x:v>
      </x:c>
      <x:c r="D25" s="8" t="str">
        <x:v>Недоступна в сезоне</x:v>
      </x:c>
      <x:c r="E25" s="8" t="str"/>
      <x:c r="F25" s="2"/>
      <x:c r="G25" s="2"/>
      <x:c r="H25" s="2"/>
      <x:c r="I25" s="2"/>
      <x:c r="J25" s="2"/>
    </x:row>
    <x:row r="26" ht="15" hidden="0" customHeight="1">
      <x:c r="A26" s="2" t="str">
        <x:v>Every New Level</x:v>
      </x:c>
      <x:c r="B26" s="2" t="n">
        <x:v>1</x:v>
      </x:c>
      <x:c r="C26" s="2" t="n">
        <x:v>1</x:v>
      </x:c>
      <x:c r="D26" s="2" t="str">
        <x:v>Нет</x:v>
      </x:c>
      <x:c r="E26" s="23" t="str"/>
      <x:c r="F26" s="2"/>
      <x:c r="G26" s="2"/>
      <x:c r="H26" s="2"/>
      <x:c r="I26" s="2"/>
      <x:c r="J26" s="2"/>
    </x:row>
    <x:row r="27" ht="15" hidden="0" customHeight="1">
      <x:c r="A27" s="2" t="str">
        <x:v>Promocodes</x:v>
      </x:c>
      <x:c r="B27" s="2" t="n">
        <x:v>1</x:v>
      </x:c>
      <x:c r="C27" s="2" t="n">
        <x:v>1</x:v>
      </x:c>
      <x:c r="D27" s="2" t="str">
        <x:v>Нет</x:v>
      </x:c>
      <x:c r="E27" s="23" t="str"/>
      <x:c r="F27" s="2"/>
      <x:c r="G27" s="2"/>
      <x:c r="H27" s="2"/>
      <x:c r="I27" s="2"/>
      <x:c r="J27" s="2"/>
    </x:row>
    <x:row r="28" ht="15" hidden="0" customHeight="1">
      <x:c r="A28" s="2" t="str">
        <x:v>Change Name</x:v>
      </x:c>
      <x:c r="B28" s="2" t="n">
        <x:v>1</x:v>
      </x:c>
      <x:c r="C28" s="2" t="n">
        <x:v>1</x:v>
      </x:c>
      <x:c r="D28" s="2" t="str">
        <x:v>Нет</x:v>
      </x:c>
      <x:c r="E28" s="23" t="str"/>
      <x:c r="F28" s="2"/>
      <x:c r="G28" s="2"/>
      <x:c r="H28" s="2"/>
      <x:c r="I28" s="2"/>
      <x:c r="J28" s="2"/>
    </x:row>
    <x:row r="29" ht="15" hidden="0" customHeight="1">
      <x:c r="A29" s="2" t="str">
        <x:v>Transfer</x:v>
      </x:c>
      <x:c r="B29" s="2" t="n">
        <x:v>1</x:v>
      </x:c>
      <x:c r="C29" s="2" t="n">
        <x:v>1</x:v>
      </x:c>
      <x:c r="D29" s="2" t="str">
        <x:v>Нет</x:v>
      </x:c>
      <x:c r="E29" s="23" t="str"/>
      <x:c r="F29" s="2"/>
      <x:c r="G29" s="2"/>
      <x:c r="H29" s="2"/>
      <x:c r="I29" s="2"/>
      <x:c r="J29" s="2"/>
    </x:row>
    <x:row r="30" ht="15" hidden="0" customHeight="1">
      <x:c r="A30" s="2" t="str">
        <x:v>Stats</x:v>
      </x:c>
      <x:c r="B30" s="2" t="n">
        <x:v>2</x:v>
      </x:c>
      <x:c r="C30" s="2" t="n">
        <x:v>1</x:v>
      </x:c>
      <x:c r="D30" s="2" t="str">
        <x:v>Нет</x:v>
      </x:c>
      <x:c r="E30" s="23" t="str"/>
      <x:c r="F30" s="2"/>
      <x:c r="G30" s="2"/>
      <x:c r="H30" s="2"/>
      <x:c r="I30" s="2"/>
      <x:c r="J30" s="2"/>
    </x:row>
    <x:row r="31" ht="15" hidden="0" customHeight="1">
      <x:c r="A31" s="2" t="str">
        <x:v>Backpack</x:v>
      </x:c>
      <x:c r="B31" s="2" t="n">
        <x:v>2</x:v>
      </x:c>
      <x:c r="C31" s="2" t="n">
        <x:v>1</x:v>
      </x:c>
      <x:c r="D31" s="2" t="str">
        <x:v>Нет</x:v>
      </x:c>
      <x:c r="E31" s="23" t="str"/>
      <x:c r="F31" s="2"/>
      <x:c r="G31" s="2"/>
      <x:c r="H31" s="2"/>
      <x:c r="I31" s="2"/>
      <x:c r="J31" s="2"/>
    </x:row>
    <x:row r="32" ht="15" hidden="0" customHeight="1">
      <x:c r="A32" s="2" t="str">
        <x:v>Stock</x:v>
      </x:c>
      <x:c r="B32" s="2" t="n">
        <x:v>2</x:v>
      </x:c>
      <x:c r="C32" s="2" t="n">
        <x:v>1</x:v>
      </x:c>
      <x:c r="D32" s="2" t="str">
        <x:v>Нет</x:v>
      </x:c>
      <x:c r="E32" s="23" t="str"/>
      <x:c r="F32" s="2"/>
      <x:c r="G32" s="2"/>
      <x:c r="H32" s="2"/>
      <x:c r="I32" s="2"/>
      <x:c r="J32" s="2"/>
    </x:row>
    <x:row r="33" ht="15" hidden="0" customHeight="1">
      <x:c r="A33" s="2" t="str">
        <x:v>Shrine</x:v>
      </x:c>
      <x:c r="B33" s="2" t="n">
        <x:v>2</x:v>
      </x:c>
      <x:c r="C33" s="2" t="n">
        <x:v>1</x:v>
      </x:c>
      <x:c r="D33" s="2" t="str">
        <x:v>Нет</x:v>
      </x:c>
      <x:c r="E33" s="23" t="str"/>
      <x:c r="F33" s="2"/>
      <x:c r="G33" s="2"/>
      <x:c r="H33" s="2"/>
      <x:c r="I33" s="2"/>
      <x:c r="J33" s="2"/>
    </x:row>
    <x:row r="34" ht="15" hidden="0" customHeight="1">
      <x:c r="A34" s="2" t="str">
        <x:v>Chests</x:v>
      </x:c>
      <x:c r="B34" s="2" t="n">
        <x:v>2</x:v>
      </x:c>
      <x:c r="C34" s="2" t="n">
        <x:v>1</x:v>
      </x:c>
      <x:c r="D34" s="2" t="str">
        <x:v>Нет</x:v>
      </x:c>
      <x:c r="E34" s="23" t="str"/>
      <x:c r="F34" s="2"/>
      <x:c r="G34" s="2"/>
      <x:c r="H34" s="2"/>
      <x:c r="I34" s="2"/>
      <x:c r="J34" s="2"/>
    </x:row>
    <x:row r="35" ht="15" hidden="0" customHeight="1">
      <x:c r="A35" s="2" t="str">
        <x:v>Market Stall</x:v>
      </x:c>
      <x:c r="B35" s="2" t="n">
        <x:v>2</x:v>
      </x:c>
      <x:c r="C35" s="2" t="n">
        <x:v>1</x:v>
      </x:c>
      <x:c r="D35" s="2" t="str">
        <x:v>Нет</x:v>
      </x:c>
      <x:c r="E35" s="23" t="str"/>
      <x:c r="F35" s="2"/>
      <x:c r="G35" s="2"/>
      <x:c r="H35" s="2"/>
      <x:c r="I35" s="2"/>
      <x:c r="J35" s="2"/>
    </x:row>
    <x:row r="36" ht="15" hidden="0" customHeight="1">
      <x:c r="A36" s="2" t="str">
        <x:v>Community</x:v>
      </x:c>
      <x:c r="B36" s="2" t="n">
        <x:v>2</x:v>
      </x:c>
      <x:c r="C36" s="2" t="n">
        <x:v>1</x:v>
      </x:c>
      <x:c r="D36" s="2" t="str">
        <x:v>Нет</x:v>
      </x:c>
      <x:c r="E36" s="23" t="str"/>
      <x:c r="F36" s="2"/>
      <x:c r="G36" s="2"/>
      <x:c r="H36" s="2"/>
      <x:c r="I36" s="2"/>
      <x:c r="J36" s="2"/>
    </x:row>
    <x:row r="37" ht="15" hidden="0" customHeight="1">
      <x:c r="A37" s="2" t="str">
        <x:v>Skills</x:v>
      </x:c>
      <x:c r="B37" s="2" t="n">
        <x:v>3</x:v>
      </x:c>
      <x:c r="C37" s="2" t="n">
        <x:v>1</x:v>
      </x:c>
      <x:c r="D37" s="2" t="str">
        <x:v>Нет</x:v>
      </x:c>
      <x:c r="E37" s="23" t="str"/>
      <x:c r="F37" s="2"/>
      <x:c r="G37" s="2"/>
      <x:c r="H37" s="2"/>
      <x:c r="I37" s="2"/>
      <x:c r="J37" s="2"/>
    </x:row>
    <x:row r="38" ht="15" hidden="0" customHeight="1">
      <x:c r="A38" s="2" t="str">
        <x:v>Skills Level Up</x:v>
      </x:c>
      <x:c r="B38" s="2" t="n">
        <x:v>3</x:v>
      </x:c>
      <x:c r="C38" s="2" t="n">
        <x:v>1</x:v>
      </x:c>
      <x:c r="D38" s="2" t="str">
        <x:v>Нет</x:v>
      </x:c>
      <x:c r="E38" s="23" t="str"/>
      <x:c r="F38" s="2"/>
      <x:c r="G38" s="2"/>
      <x:c r="H38" s="2"/>
      <x:c r="I38" s="2"/>
      <x:c r="J38" s="2"/>
    </x:row>
    <x:row r="39" ht="15" hidden="0" customHeight="1">
      <x:c r="A39" s="2" t="str">
        <x:v>Character</x:v>
      </x:c>
      <x:c r="B39" s="2" t="n">
        <x:v>4</x:v>
      </x:c>
      <x:c r="C39" s="2" t="n">
        <x:v>1</x:v>
      </x:c>
      <x:c r="D39" s="2" t="str">
        <x:v>Нет</x:v>
      </x:c>
      <x:c r="E39" s="23" t="str"/>
      <x:c r="F39" s="2"/>
      <x:c r="G39" s="2"/>
      <x:c r="H39" s="2"/>
      <x:c r="I39" s="2"/>
      <x:c r="J39" s="2"/>
    </x:row>
    <x:row r="40" ht="15" hidden="0" customHeight="1">
      <x:c r="A40" s="2" t="str">
        <x:v>Invitation</x:v>
      </x:c>
      <x:c r="B40" s="2" t="n">
        <x:v>4</x:v>
      </x:c>
      <x:c r="C40" s="2" t="n">
        <x:v>1</x:v>
      </x:c>
      <x:c r="D40" s="2" t="str">
        <x:v>Нет</x:v>
      </x:c>
      <x:c r="E40" s="23" t="str"/>
      <x:c r="F40" s="2"/>
      <x:c r="G40" s="2"/>
      <x:c r="H40" s="2"/>
      <x:c r="I40" s="2"/>
      <x:c r="J40" s="2"/>
    </x:row>
    <x:row r="41" ht="15" hidden="0" customHeight="1">
      <x:c r="A41" s="2" t="str">
        <x:v>Main House</x:v>
      </x:c>
      <x:c r="B41" s="2" t="n">
        <x:v>5</x:v>
      </x:c>
      <x:c r="C41" s="2" t="n">
        <x:v>1</x:v>
      </x:c>
      <x:c r="D41" s="2" t="str">
        <x:v>Нет</x:v>
      </x:c>
      <x:c r="E41" s="23" t="str"/>
      <x:c r="F41" s="2"/>
      <x:c r="G41" s="2"/>
      <x:c r="H41" s="2"/>
      <x:c r="I41" s="2"/>
      <x:c r="J41" s="2"/>
    </x:row>
    <x:row r="42" ht="15" hidden="0" customHeight="1">
      <x:c r="A42" s="2" t="str">
        <x:v>Hall of Heroes</x:v>
      </x:c>
      <x:c r="B42" s="2" t="n">
        <x:v>5</x:v>
      </x:c>
      <x:c r="C42" s="2" t="n">
        <x:v>1</x:v>
      </x:c>
      <x:c r="D42" s="2" t="str">
        <x:v>Да</x:v>
      </x:c>
      <x:c r="E42" s="23" t="str"/>
      <x:c r="F42" s="2"/>
      <x:c r="G42" s="2"/>
      <x:c r="H42" s="2"/>
      <x:c r="I42" s="2"/>
      <x:c r="J42" s="2"/>
    </x:row>
    <x:row r="43" ht="15" hidden="0" customHeight="1">
      <x:c r="A43" s="2" t="str">
        <x:v>Double Tap</x:v>
      </x:c>
      <x:c r="B43" s="2" t="n">
        <x:v>7</x:v>
      </x:c>
      <x:c r="C43" s="2" t="n">
        <x:v>2</x:v>
      </x:c>
      <x:c r="D43" s="2" t="str">
        <x:v>Нет</x:v>
      </x:c>
      <x:c r="E43" s="23" t="str"/>
      <x:c r="F43" s="2"/>
      <x:c r="G43" s="2"/>
      <x:c r="H43" s="2"/>
      <x:c r="I43" s="2"/>
      <x:c r="J43" s="2"/>
    </x:row>
    <x:row r="44" ht="15" hidden="0" customHeight="1">
      <x:c r="A44" s="2" t="str">
        <x:v>Chat</x:v>
      </x:c>
      <x:c r="B44" s="2" t="n">
        <x:v>7</x:v>
      </x:c>
      <x:c r="C44" s="2" t="n">
        <x:v>2</x:v>
      </x:c>
      <x:c r="D44" s="2" t="str">
        <x:v>Нет</x:v>
      </x:c>
      <x:c r="E44" s="23" t="str"/>
      <x:c r="F44" s="2"/>
      <x:c r="G44" s="2"/>
      <x:c r="H44" s="2"/>
      <x:c r="I44" s="2"/>
      <x:c r="J44" s="2"/>
    </x:row>
    <x:row r="45" ht="15" hidden="0" customHeight="1">
      <x:c r="A45" s="2" t="str">
        <x:v>Bonuses</x:v>
      </x:c>
      <x:c r="B45" s="2" t="n">
        <x:v>9</x:v>
      </x:c>
      <x:c r="C45" s="2" t="n">
        <x:v>4</x:v>
      </x:c>
      <x:c r="D45" s="2" t="str">
        <x:v>Да</x:v>
      </x:c>
      <x:c r="E45" s="23" t="str"/>
      <x:c r="F45" s="2"/>
      <x:c r="G45" s="2"/>
      <x:c r="H45" s="2"/>
      <x:c r="I45" s="2"/>
      <x:c r="J45" s="2"/>
    </x:row>
    <x:row r="46" ht="15" hidden="0" customHeight="1">
      <x:c r="A46" s="2" t="str">
        <x:v>Long Tap</x:v>
      </x:c>
      <x:c r="B46" s="2" t="n">
        <x:v>9</x:v>
      </x:c>
      <x:c r="C46" s="2" t="n">
        <x:v>4</x:v>
      </x:c>
      <x:c r="D46" s="2" t="str">
        <x:v>Нет</x:v>
      </x:c>
      <x:c r="E46" s="23" t="str"/>
      <x:c r="F46" s="2"/>
      <x:c r="G46" s="2"/>
      <x:c r="H46" s="2"/>
      <x:c r="I46" s="2"/>
      <x:c r="J46" s="2"/>
    </x:row>
    <x:row r="47" ht="15" hidden="0" customHeight="1">
      <x:c r="A47" s="2" t="str">
        <x:v>Skills User Status</x:v>
      </x:c>
      <x:c r="B47" s="2" t="n">
        <x:v>10</x:v>
      </x:c>
      <x:c r="C47" s="2" t="n">
        <x:v>5</x:v>
      </x:c>
      <x:c r="D47" s="2" t="str">
        <x:v>Нет</x:v>
      </x:c>
      <x:c r="E47" s="23" t="str"/>
      <x:c r="F47" s="2"/>
      <x:c r="G47" s="2"/>
      <x:c r="H47" s="2"/>
      <x:c r="I47" s="2"/>
      <x:c r="J47" s="2"/>
    </x:row>
    <x:row r="48" ht="15" hidden="0" customHeight="1">
      <x:c r="A48" s="2" t="str">
        <x:v>Guild</x:v>
      </x:c>
      <x:c r="B48" s="2" t="n">
        <x:v>10</x:v>
      </x:c>
      <x:c r="C48" s="2" t="n">
        <x:v>5</x:v>
      </x:c>
      <x:c r="D48" s="2" t="str">
        <x:v>Нет</x:v>
      </x:c>
      <x:c r="E48" s="23" t="str"/>
      <x:c r="F48" s="2"/>
      <x:c r="G48" s="2"/>
      <x:c r="H48" s="2"/>
      <x:c r="I48" s="2"/>
      <x:c r="J48" s="2"/>
    </x:row>
    <x:row r="49" ht="15" hidden="0" customHeight="1">
      <x:c r="A49" s="2" t="str">
        <x:v>Wardrobe</x:v>
      </x:c>
      <x:c r="B49" s="2" t="n">
        <x:v>12</x:v>
      </x:c>
      <x:c r="C49" s="2" t="n">
        <x:v>7</x:v>
      </x:c>
      <x:c r="D49" s="2" t="str">
        <x:v>Нет</x:v>
      </x:c>
      <x:c r="E49" s="23" t="str"/>
      <x:c r="F49" s="2"/>
      <x:c r="G49" s="2"/>
      <x:c r="H49" s="2"/>
      <x:c r="I49" s="2"/>
      <x:c r="J49" s="2"/>
    </x:row>
    <x:row r="50" ht="15" hidden="0" customHeight="1">
      <x:c r="A50" s="2" t="str">
        <x:v>Leaderboards</x:v>
      </x:c>
      <x:c r="B50" s="2" t="n">
        <x:v>15</x:v>
      </x:c>
      <x:c r="C50" s="2" t="n">
        <x:v>10</x:v>
      </x:c>
      <x:c r="D50" s="2" t="str">
        <x:v>Нет</x:v>
      </x:c>
      <x:c r="E50" s="23" t="str"/>
      <x:c r="F50" s="2"/>
      <x:c r="G50" s="2"/>
      <x:c r="H50" s="2"/>
      <x:c r="I50" s="2"/>
      <x:c r="J50" s="2"/>
    </x:row>
    <x:row r="51" ht="15" hidden="0" customHeight="1">
      <x:c r="A51" s="2" t="str">
        <x:v>Dungeons</x:v>
      </x:c>
      <x:c r="B51" s="2" t="n">
        <x:v>16</x:v>
      </x:c>
      <x:c r="C51" s="2" t="n">
        <x:v>11</x:v>
      </x:c>
      <x:c r="D51" s="2" t="str">
        <x:v>Нет</x:v>
      </x:c>
      <x:c r="E51" s="23" t="str"/>
      <x:c r="F51" s="2"/>
      <x:c r="G51" s="2"/>
      <x:c r="H51" s="2"/>
      <x:c r="I51" s="2"/>
      <x:c r="J51" s="2"/>
    </x:row>
    <x:row r="52" ht="15" hidden="0" customHeight="1">
      <x:c r="A52" s="2" t="str">
        <x:v>Goblin</x:v>
      </x:c>
      <x:c r="B52" s="2" t="n">
        <x:v>16</x:v>
      </x:c>
      <x:c r="C52" s="2" t="n">
        <x:v>11</x:v>
      </x:c>
      <x:c r="D52" s="2" t="str">
        <x:v>Нет</x:v>
      </x:c>
      <x:c r="E52" s="23" t="str"/>
      <x:c r="F52" s="2"/>
      <x:c r="G52" s="2"/>
      <x:c r="H52" s="2"/>
      <x:c r="I52" s="2"/>
      <x:c r="J52" s="2"/>
    </x:row>
    <x:row r="53" ht="15" hidden="0" customHeight="1">
      <x:c r="A53" s="2" t="str">
        <x:v>Stash</x:v>
      </x:c>
      <x:c r="B53" s="2" t="n">
        <x:v>17</x:v>
      </x:c>
      <x:c r="C53" s="2" t="n">
        <x:v>12</x:v>
      </x:c>
      <x:c r="D53" s="2" t="str">
        <x:v>Да</x:v>
      </x:c>
      <x:c r="E53" s="23" t="str"/>
      <x:c r="F53" s="2"/>
      <x:c r="G53" s="2"/>
      <x:c r="H53" s="2"/>
      <x:c r="I53" s="2"/>
      <x:c r="J53" s="2"/>
    </x:row>
    <x:row r="54" ht="15" hidden="0" customHeight="1">
      <x:c r="A54" s="2" t="str">
        <x:v>Laboratory</x:v>
      </x:c>
      <x:c r="B54" s="2" t="n">
        <x:v>20</x:v>
      </x:c>
      <x:c r="C54" s="2" t="n">
        <x:v>15</x:v>
      </x:c>
      <x:c r="D54" s="2" t="str">
        <x:v>Нет</x:v>
      </x:c>
      <x:c r="E54" s="23" t="str"/>
      <x:c r="F54" s="2"/>
      <x:c r="G54" s="2"/>
      <x:c r="H54" s="2"/>
      <x:c r="I54" s="2"/>
      <x:c r="J54" s="2"/>
    </x:row>
    <x:row r="55" ht="15" hidden="0" customHeight="1">
      <x:c r="A55" s="2" t="str">
        <x:v>Craft</x:v>
      </x:c>
      <x:c r="B55" s="2" t="n">
        <x:v>20</x:v>
      </x:c>
      <x:c r="C55" s="2" t="n">
        <x:v>15</x:v>
      </x:c>
      <x:c r="D55" s="2" t="str">
        <x:v>Нет</x:v>
      </x:c>
      <x:c r="E55" s="23" t="str"/>
      <x:c r="F55" s="2"/>
      <x:c r="G55" s="2"/>
      <x:c r="H55" s="2"/>
      <x:c r="I55" s="2"/>
      <x:c r="J55" s="2"/>
    </x:row>
    <x:row r="56" ht="15" hidden="0" customHeight="1">
      <x:c r="A56" s="2" t="str">
        <x:v>Territorial Wars</x:v>
      </x:c>
      <x:c r="B56" s="2" t="n">
        <x:v>20</x:v>
      </x:c>
      <x:c r="C56" s="2" t="n">
        <x:v>15</x:v>
      </x:c>
      <x:c r="D56" s="2" t="str">
        <x:v>Нет</x:v>
      </x:c>
      <x:c r="E56" s="23" t="str"/>
      <x:c r="F56" s="2"/>
      <x:c r="G56" s="2"/>
      <x:c r="H56" s="2"/>
      <x:c r="I56" s="2"/>
      <x:c r="J56" s="2"/>
    </x:row>
    <x:row r="57" ht="15" hidden="0" customHeight="1">
      <x:c r="A57" s="2" t="str">
        <x:v>Library</x:v>
      </x:c>
      <x:c r="B57" s="2" t="n">
        <x:v>20</x:v>
      </x:c>
      <x:c r="C57" s="2" t="n">
        <x:v>15</x:v>
      </x:c>
      <x:c r="D57" s="2" t="str">
        <x:v>Нет</x:v>
      </x:c>
      <x:c r="E57" s="23" t="str"/>
      <x:c r="F57" s="2"/>
      <x:c r="G57" s="2"/>
      <x:c r="H57" s="2"/>
      <x:c r="I57" s="2"/>
      <x:c r="J57" s="2"/>
    </x:row>
    <x:row r="58" ht="15" hidden="0" customHeight="1">
      <x:c r="A58" s="2" t="str">
        <x:v>Workshop</x:v>
      </x:c>
      <x:c r="B58" s="2" t="n">
        <x:v>20</x:v>
      </x:c>
      <x:c r="C58" s="2" t="n">
        <x:v>15</x:v>
      </x:c>
      <x:c r="D58" s="2" t="str">
        <x:v>Нет</x:v>
      </x:c>
      <x:c r="E58" s="23" t="str"/>
      <x:c r="F58" s="2"/>
      <x:c r="G58" s="2"/>
      <x:c r="H58" s="2"/>
      <x:c r="I58" s="2"/>
      <x:c r="J58" s="2"/>
    </x:row>
    <x:row r="59" ht="15" hidden="0" customHeight="1">
      <x:c r="A59" s="2" t="str">
        <x:v>Stable</x:v>
      </x:c>
      <x:c r="B59" s="2" t="n">
        <x:v>20</x:v>
      </x:c>
      <x:c r="C59" s="2" t="n">
        <x:v>15</x:v>
      </x:c>
      <x:c r="D59" s="2" t="str">
        <x:v>Нет</x:v>
      </x:c>
      <x:c r="E59" s="23" t="str"/>
      <x:c r="F59" s="2"/>
      <x:c r="G59" s="2"/>
      <x:c r="H59" s="2"/>
      <x:c r="I59" s="2"/>
      <x:c r="J59" s="2"/>
    </x:row>
    <x:row r="60" ht="15" hidden="0" customHeight="1">
      <x:c r="A60" s="2" t="str">
        <x:v>Lost Cargo</x:v>
      </x:c>
      <x:c r="B60" s="2" t="n">
        <x:v>21</x:v>
      </x:c>
      <x:c r="C60" s="2" t="n">
        <x:v>16</x:v>
      </x:c>
      <x:c r="D60" s="2" t="str">
        <x:v>Нет</x:v>
      </x:c>
      <x:c r="E60" s="23" t="str"/>
      <x:c r="F60" s="2"/>
      <x:c r="G60" s="2"/>
      <x:c r="H60" s="2"/>
      <x:c r="I60" s="2"/>
      <x:c r="J60" s="2"/>
    </x:row>
    <x:row r="61" ht="15" hidden="0" customHeight="1">
      <x:c r="A61" s="2" t="str">
        <x:v>Mini Map</x:v>
      </x:c>
      <x:c r="B61" s="2" t="n">
        <x:v>21</x:v>
      </x:c>
      <x:c r="C61" s="2" t="n">
        <x:v>16</x:v>
      </x:c>
      <x:c r="D61" s="2" t="str">
        <x:v>Нет</x:v>
      </x:c>
      <x:c r="E61" s="23" t="str"/>
      <x:c r="F61" s="2"/>
      <x:c r="G61" s="2"/>
      <x:c r="H61" s="2"/>
      <x:c r="I61" s="2"/>
      <x:c r="J61" s="2"/>
    </x:row>
    <x:row r="62" ht="15" hidden="0" customHeight="1">
      <x:c r="A62" s="2" t="str">
        <x:v>Trading Post</x:v>
      </x:c>
      <x:c r="B62" s="2" t="n">
        <x:v>25</x:v>
      </x:c>
      <x:c r="C62" s="2" t="n">
        <x:v>20</x:v>
      </x:c>
      <x:c r="D62" s="2" t="str">
        <x:v>Да</x:v>
      </x:c>
      <x:c r="E62" s="23" t="str"/>
      <x:c r="F62" s="2"/>
      <x:c r="G62" s="2"/>
      <x:c r="H62" s="2"/>
      <x:c r="I62" s="2"/>
      <x:c r="J62" s="2"/>
    </x:row>
    <x:row r="63" ht="15" hidden="0" customHeight="1">
      <x:c r="A63" s="2" t="str">
        <x:v>Hike</x:v>
      </x:c>
      <x:c r="B63" s="2" t="n">
        <x:v>25</x:v>
      </x:c>
      <x:c r="C63" s="2" t="n">
        <x:v>20</x:v>
      </x:c>
      <x:c r="D63" s="2" t="str">
        <x:v>Да</x:v>
      </x:c>
      <x:c r="E63" s="23" t="str"/>
      <x:c r="F63" s="2"/>
      <x:c r="G63" s="2"/>
      <x:c r="H63" s="2"/>
      <x:c r="I63" s="2"/>
      <x:c r="J63" s="2"/>
    </x:row>
    <x:row r="64" ht="15" hidden="0" customHeight="1">
      <x:c r="A64" s="2" t="str">
        <x:v>Activity Board</x:v>
      </x:c>
      <x:c r="B64" s="2" t="n">
        <x:v>25</x:v>
      </x:c>
      <x:c r="C64" s="2" t="n">
        <x:v>20</x:v>
      </x:c>
      <x:c r="D64" s="2" t="str">
        <x:v>Да</x:v>
      </x:c>
      <x:c r="E64" s="23" t="str"/>
      <x:c r="F64" s="2"/>
      <x:c r="G64" s="2"/>
      <x:c r="H64" s="2"/>
      <x:c r="I64" s="2"/>
      <x:c r="J64" s="2"/>
    </x:row>
    <x:row r="65" ht="15" hidden="0" customHeight="1">
      <x:c r="A65" s="2" t="str">
        <x:v>Temple of Darkness</x:v>
      </x:c>
      <x:c r="B65" s="2" t="n">
        <x:v>25</x:v>
      </x:c>
      <x:c r="C65" s="2" t="n">
        <x:v>20</x:v>
      </x:c>
      <x:c r="D65" s="2" t="str">
        <x:v>Нет</x:v>
      </x:c>
      <x:c r="E65" s="23" t="str"/>
      <x:c r="F65" s="2"/>
      <x:c r="G65" s="2"/>
      <x:c r="H65" s="2"/>
      <x:c r="I65" s="2"/>
      <x:c r="J65" s="2"/>
    </x:row>
    <x:row r="66" ht="15" hidden="0" customHeight="1">
      <x:c r="A66" s="2" t="str">
        <x:v>Craft (Forging)</x:v>
      </x:c>
      <x:c r="B66" s="2" t="n">
        <x:v>25</x:v>
      </x:c>
      <x:c r="C66" s="2" t="n">
        <x:v>20</x:v>
      </x:c>
      <x:c r="D66" s="2" t="str">
        <x:v>Да</x:v>
      </x:c>
      <x:c r="E66" s="23" t="str"/>
      <x:c r="F66" s="2"/>
      <x:c r="G66" s="2"/>
      <x:c r="H66" s="2"/>
      <x:c r="I66" s="2"/>
      <x:c r="J66" s="2"/>
    </x:row>
    <x:row r="67" ht="15" hidden="0" customHeight="1">
      <x:c r="A67" s="2" t="str">
        <x:v>Town Portal</x:v>
      </x:c>
      <x:c r="B67" s="2" t="n">
        <x:v>30</x:v>
      </x:c>
      <x:c r="C67" s="2" t="n">
        <x:v>25</x:v>
      </x:c>
      <x:c r="D67" s="2" t="str">
        <x:v>Да</x:v>
      </x:c>
      <x:c r="E67" s="23" t="str"/>
      <x:c r="F67" s="2"/>
      <x:c r="G67" s="2"/>
      <x:c r="H67" s="2"/>
      <x:c r="I67" s="2"/>
      <x:c r="J67" s="2"/>
    </x:row>
    <x:row r="68" ht="15" hidden="0" customHeight="1">
      <x:c r="A68" s="2" t="str">
        <x:v>Auction</x:v>
      </x:c>
      <x:c r="B68" s="2" t="n">
        <x:v>30</x:v>
      </x:c>
      <x:c r="C68" s="2" t="n">
        <x:v>25</x:v>
      </x:c>
      <x:c r="D68" s="2" t="str">
        <x:v>Да</x:v>
      </x:c>
      <x:c r="E68" s="23" t="str"/>
      <x:c r="F68" s="2"/>
      <x:c r="G68" s="2"/>
      <x:c r="H68" s="2"/>
      <x:c r="I68" s="2"/>
      <x:c r="J68" s="2"/>
    </x:row>
    <x:row r="69" ht="15" hidden="0" customHeight="1">
      <x:c r="A69" s="2" t="str">
        <x:v>Party Dungeon</x:v>
      </x:c>
      <x:c r="B69" s="2" t="n">
        <x:v>30</x:v>
      </x:c>
      <x:c r="C69" s="2" t="n">
        <x:v>25</x:v>
      </x:c>
      <x:c r="D69" s="2" t="str">
        <x:v>Нет</x:v>
      </x:c>
      <x:c r="E69" s="23" t="str"/>
      <x:c r="F69" s="2"/>
      <x:c r="G69" s="2"/>
      <x:c r="H69" s="2"/>
      <x:c r="I69" s="2"/>
      <x:c r="J69" s="2"/>
    </x:row>
    <x:row r="70" ht="15" hidden="0" customHeight="1">
      <x:c r="A70" s="2" t="str">
        <x:v>Armory</x:v>
      </x:c>
      <x:c r="B70" s="2" t="n">
        <x:v>30</x:v>
      </x:c>
      <x:c r="C70" s="2" t="n">
        <x:v>25</x:v>
      </x:c>
      <x:c r="D70" s="2" t="str">
        <x:v>Нет</x:v>
      </x:c>
      <x:c r="E70" s="23" t="str"/>
      <x:c r="F70" s="2"/>
      <x:c r="G70" s="2"/>
      <x:c r="H70" s="2"/>
      <x:c r="I70" s="2"/>
      <x:c r="J70" s="2"/>
    </x:row>
    <x:row r="71" ht="15" hidden="0" customHeight="1">
      <x:c r="A71" s="2" t="str">
        <x:v>Craft (Jewelry)</x:v>
      </x:c>
      <x:c r="B71" s="2" t="n">
        <x:v>30</x:v>
      </x:c>
      <x:c r="C71" s="2" t="n">
        <x:v>25</x:v>
      </x:c>
      <x:c r="D71" s="2" t="str">
        <x:v>Нет</x:v>
      </x:c>
      <x:c r="E71" s="23" t="str"/>
      <x:c r="F71" s="2"/>
      <x:c r="G71" s="2"/>
      <x:c r="H71" s="2"/>
      <x:c r="I71" s="2"/>
      <x:c r="J71" s="2"/>
    </x:row>
    <x:row r="72" ht="15" hidden="0" customHeight="1">
      <x:c r="A72" s="2" t="str">
        <x:v>Craft (Furnace)</x:v>
      </x:c>
      <x:c r="B72" s="2" t="n">
        <x:v>30</x:v>
      </x:c>
      <x:c r="C72" s="2" t="n">
        <x:v>25</x:v>
      </x:c>
      <x:c r="D72" s="2" t="str">
        <x:v>Нет</x:v>
      </x:c>
      <x:c r="E72" s="23" t="str"/>
      <x:c r="F72" s="2"/>
      <x:c r="G72" s="2"/>
      <x:c r="H72" s="2"/>
      <x:c r="I72" s="2"/>
      <x:c r="J72" s="2"/>
    </x:row>
    <x:row r="73" ht="15" hidden="0" customHeight="1">
      <x:c r="A73" s="2" t="str">
        <x:v>Craft (Melting)</x:v>
      </x:c>
      <x:c r="B73" s="2" t="n">
        <x:v>30</x:v>
      </x:c>
      <x:c r="C73" s="2" t="n">
        <x:v>25</x:v>
      </x:c>
      <x:c r="D73" s="2" t="str">
        <x:v>Да</x:v>
      </x:c>
      <x:c r="E73" s="23" t="str"/>
      <x:c r="F73" s="2"/>
      <x:c r="G73" s="2"/>
      <x:c r="H73" s="2"/>
      <x:c r="I73" s="2"/>
      <x:c r="J73" s="2"/>
    </x:row>
    <x:row r="74" ht="15" hidden="0" customHeight="1">
      <x:c r="A74" s="2" t="str">
        <x:v>Contracts</x:v>
      </x:c>
      <x:c r="B74" s="2" t="n">
        <x:v>30</x:v>
      </x:c>
      <x:c r="C74" s="2" t="n">
        <x:v>25</x:v>
      </x:c>
      <x:c r="D74" s="2" t="str">
        <x:v>Нет</x:v>
      </x:c>
      <x:c r="E74" s="23" t="str"/>
      <x:c r="F74" s="2"/>
      <x:c r="G74" s="2"/>
      <x:c r="H74" s="2"/>
      <x:c r="I74" s="2"/>
      <x:c r="J74" s="2"/>
    </x:row>
    <x:row r="75" ht="15" hidden="0" customHeight="1">
      <x:c r="A75" s="2" t="str">
        <x:v>PvP — Level Up</x:v>
      </x:c>
      <x:c r="B75" s="2" t="n">
        <x:v>31</x:v>
      </x:c>
      <x:c r="C75" s="2" t="n">
        <x:v>26</x:v>
      </x:c>
      <x:c r="D75" s="2" t="str">
        <x:v>Нет</x:v>
      </x:c>
      <x:c r="E75" s="23" t="str"/>
      <x:c r="F75" s="2"/>
      <x:c r="G75" s="2"/>
      <x:c r="H75" s="2"/>
      <x:c r="I75" s="2"/>
      <x:c r="J75" s="2"/>
    </x:row>
    <x:row r="76" ht="15" hidden="0" customHeight="1">
      <x:c r="A76" s="2" t="str">
        <x:v>Fountain</x:v>
      </x:c>
      <x:c r="B76" s="2" t="n">
        <x:v>35</x:v>
      </x:c>
      <x:c r="C76" s="2" t="n">
        <x:v>30</x:v>
      </x:c>
      <x:c r="D76" s="2" t="str">
        <x:v>Нет</x:v>
      </x:c>
      <x:c r="E76" s="23" t="str"/>
      <x:c r="F76" s="2"/>
      <x:c r="G76" s="2"/>
      <x:c r="H76" s="2"/>
      <x:c r="I76" s="2"/>
      <x:c r="J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</x:sheetData>
  <x:conditionalFormatting sqref="D26:D76">
    <x:cfRule type="containsText" dxfId="0" priority="1" operator="containsText" text="Да"/>
  </x:conditionalFormatting>
  <x:dataValidations count="3">
    <x:dataValidation type="whole" operator="between" sqref="B6">
      <x:formula1>1</x:formula1>
      <x:formula2>5</x:formula2>
    </x:dataValidation>
    <x:dataValidation type="whole" operator="between" sqref="B7">
      <x:formula1>1</x:formula1>
      <x:formula2>4</x:formula2>
    </x:dataValidation>
    <x:dataValidation type="whole" operator="between" sqref="B9">
      <x:formula1>1</x:formula1>
      <x:formula2>3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99A2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48" hidden="0" customWidth="1"/>
    <x:col min="3" max="3" width="23" hidden="0" customWidth="1"/>
    <x:col min="4" max="4" width="27" hidden="0" customWidth="1"/>
    <x:col min="5" max="5" width="48" hidden="0" customWidth="1"/>
    <x:col min="6" max="6" width="24" hidden="0" customWidth="1"/>
  </x:cols>
  <x:sheetData>
    <x:row r="1" ht="15" hidden="0" customHeight="1">
      <x:c r="A1" s="2"/>
      <x:c r="B1" s="2"/>
      <x:c r="C1" s="2"/>
      <x:c r="D1" s="2"/>
      <x:c r="E1" s="2"/>
      <x:c r="F1" s="2"/>
    </x:row>
    <x:row r="2" ht="18" hidden="0" customHeight="1">
      <x:c r="A2" s="3" t="str">
        <x:v>Маршруты и неочевидные экраны</x:v>
      </x:c>
      <x:c r="B2" s="3"/>
      <x:c r="C2" s="3"/>
      <x:c r="D2" s="3"/>
      <x:c r="E2" s="3"/>
      <x:c r="F2" s="3"/>
    </x:row>
    <x:row r="3" ht="15" hidden="0" customHeight="1">
      <x:c r="A3" s="4"/>
      <x:c r="B3" s="4"/>
      <x:c r="C3" s="4"/>
      <x:c r="D3" s="4"/>
      <x:c r="E3" s="4"/>
      <x:c r="F3" s="4"/>
    </x:row>
    <x:row r="4" ht="15" hidden="0" customHeight="1">
      <x:c r="A4" s="36" t="str">
        <x:v>Наличие маршрута не означает, что экран доступен: действуют проверки уровня, сезона, авторизации и сервера.</x:v>
      </x:c>
      <x:c r="B4" s="36" t="str"/>
      <x:c r="C4" s="36" t="str"/>
      <x:c r="D4" s="36" t="str"/>
      <x:c r="E4" s="36" t="str"/>
      <x:c r="F4" s="36" t="str"/>
    </x:row>
    <x:row r="5" ht="15" hidden="0" customHeight="1">
      <x:c r="A5" s="2"/>
      <x:c r="B5" s="2"/>
      <x:c r="C5" s="2"/>
      <x:c r="D5" s="2"/>
      <x:c r="E5" s="2"/>
      <x:c r="F5" s="2"/>
    </x:row>
    <x:row r="6" ht="15" hidden="0" customHeight="1">
      <x:c r="A6" s="8" t="str">
        <x:v>Ключ</x:v>
      </x:c>
      <x:c r="B6" s="8" t="str">
        <x:v>Путь</x:v>
      </x:c>
      <x:c r="C6" s="8" t="str">
        <x:v>Категория</x:v>
      </x:c>
      <x:c r="D6" s="8" t="str">
        <x:v>Статус</x:v>
      </x:c>
      <x:c r="E6" s="8" t="str">
        <x:v>Почему интересно</x:v>
      </x:c>
      <x:c r="F6" s="8" t="str"/>
    </x:row>
    <x:row r="7" ht="15" hidden="0" customHeight="1">
      <x:c r="A7" s="2" t="str">
        <x:v>Auth</x:v>
      </x:c>
      <x:c r="B7" s="2" t="str">
        <x:v>auth</x:v>
      </x:c>
      <x:c r="C7" s="2" t="str">
        <x:v>Авторизация</x:v>
      </x:c>
      <x:c r="D7" s="2" t="str">
        <x:v>Обычный маршрут</x:v>
      </x:c>
      <x:c r="E7" s="2" t="str"/>
      <x:c r="F7" s="23" t="str"/>
    </x:row>
    <x:row r="8" ht="15" hidden="0" customHeight="1">
      <x:c r="A8" s="2" t="str">
        <x:v>AuthTelegramLogin</x:v>
      </x:c>
      <x:c r="B8" s="2" t="str">
        <x:v>auth-telegram-login</x:v>
      </x:c>
      <x:c r="C8" s="2" t="str">
        <x:v>Авторизация</x:v>
      </x:c>
      <x:c r="D8" s="2" t="str">
        <x:v>Обычный маршрут</x:v>
      </x:c>
      <x:c r="E8" s="2" t="str"/>
      <x:c r="F8" s="23" t="str"/>
    </x:row>
    <x:row r="9" ht="15" hidden="0" customHeight="1">
      <x:c r="A9" s="2" t="str">
        <x:v>AuthTelegramApp</x:v>
      </x:c>
      <x:c r="B9" s="2" t="str">
        <x:v>auth-telegram-app</x:v>
      </x:c>
      <x:c r="C9" s="2" t="str">
        <x:v>Авторизация</x:v>
      </x:c>
      <x:c r="D9" s="2" t="str">
        <x:v>Обычный маршрут</x:v>
      </x:c>
      <x:c r="E9" s="2" t="str"/>
      <x:c r="F9" s="23" t="str"/>
    </x:row>
    <x:row r="10" ht="15" hidden="0" customHeight="1">
      <x:c r="A10" s="2" t="str">
        <x:v>AuthTelegramKeyboard</x:v>
      </x:c>
      <x:c r="B10" s="2" t="str">
        <x:v>auth-telegram-keyboard</x:v>
      </x:c>
      <x:c r="C10" s="2" t="str">
        <x:v>Авторизация</x:v>
      </x:c>
      <x:c r="D10" s="2" t="str">
        <x:v>Обычный маршрут</x:v>
      </x:c>
      <x:c r="E10" s="2" t="str"/>
      <x:c r="F10" s="23" t="str"/>
    </x:row>
    <x:row r="11" ht="15" hidden="0" customHeight="1">
      <x:c r="A11" s="2" t="str">
        <x:v>AuthYandexGames</x:v>
      </x:c>
      <x:c r="B11" s="2" t="str">
        <x:v>auth-yandex-games</x:v>
      </x:c>
      <x:c r="C11" s="2" t="str">
        <x:v>Авторизация</x:v>
      </x:c>
      <x:c r="D11" s="2" t="str">
        <x:v>Обычный маршрут</x:v>
      </x:c>
      <x:c r="E11" s="2" t="str"/>
      <x:c r="F11" s="23" t="str"/>
    </x:row>
    <x:row r="12" ht="15" hidden="0" customHeight="1">
      <x:c r="A12" s="2" t="str">
        <x:v>AuthGamePush</x:v>
      </x:c>
      <x:c r="B12" s="2" t="str">
        <x:v>auth-gamepush</x:v>
      </x:c>
      <x:c r="C12" s="2" t="str">
        <x:v>Авторизация</x:v>
      </x:c>
      <x:c r="D12" s="2" t="str">
        <x:v>Обычный маршрут</x:v>
      </x:c>
      <x:c r="E12" s="2" t="str"/>
      <x:c r="F12" s="23" t="str"/>
    </x:row>
    <x:row r="13" ht="15" hidden="0" customHeight="1">
      <x:c r="A13" s="2" t="str">
        <x:v>AuthVkPlay</x:v>
      </x:c>
      <x:c r="B13" s="2" t="str">
        <x:v>auth-vk-play</x:v>
      </x:c>
      <x:c r="C13" s="2" t="str">
        <x:v>Авторизация</x:v>
      </x:c>
      <x:c r="D13" s="2" t="str">
        <x:v>Обычный маршрут</x:v>
      </x:c>
      <x:c r="E13" s="2" t="str"/>
      <x:c r="F13" s="23" t="str"/>
    </x:row>
    <x:row r="14" ht="15" hidden="0" customHeight="1">
      <x:c r="A14" s="2" t="str">
        <x:v>AuthBeeline</x:v>
      </x:c>
      <x:c r="B14" s="2" t="str">
        <x:v>auth-beeline</x:v>
      </x:c>
      <x:c r="C14" s="2" t="str">
        <x:v>Авторизация</x:v>
      </x:c>
      <x:c r="D14" s="2" t="str">
        <x:v>Обычный маршрут</x:v>
      </x:c>
      <x:c r="E14" s="2" t="str"/>
      <x:c r="F14" s="23" t="str"/>
    </x:row>
    <x:row r="15" ht="15" hidden="0" customHeight="1">
      <x:c r="A15" s="2" t="str">
        <x:v>AuthMaxApp</x:v>
      </x:c>
      <x:c r="B15" s="2" t="str">
        <x:v>auth-max-app</x:v>
      </x:c>
      <x:c r="C15" s="2" t="str">
        <x:v>Авторизация</x:v>
      </x:c>
      <x:c r="D15" s="2" t="str">
        <x:v>Обычный маршрут</x:v>
      </x:c>
      <x:c r="E15" s="2" t="str"/>
      <x:c r="F15" s="23" t="str"/>
    </x:row>
    <x:row r="16" ht="15" hidden="0" customHeight="1">
      <x:c r="A16" s="2" t="str">
        <x:v>AuthVkApp</x:v>
      </x:c>
      <x:c r="B16" s="2" t="str">
        <x:v>auth-vk-app</x:v>
      </x:c>
      <x:c r="C16" s="2" t="str">
        <x:v>Авторизация</x:v>
      </x:c>
      <x:c r="D16" s="2" t="str">
        <x:v>Обычный маршрут</x:v>
      </x:c>
      <x:c r="E16" s="2" t="str"/>
      <x:c r="F16" s="23" t="str"/>
    </x:row>
    <x:row r="17" ht="15" hidden="0" customHeight="1">
      <x:c r="A17" s="2" t="str">
        <x:v>AuthVkId</x:v>
      </x:c>
      <x:c r="B17" s="2" t="str">
        <x:v>auth-vk-id</x:v>
      </x:c>
      <x:c r="C17" s="2" t="str">
        <x:v>Авторизация</x:v>
      </x:c>
      <x:c r="D17" s="2" t="str">
        <x:v>Обычный маршрут</x:v>
      </x:c>
      <x:c r="E17" s="2" t="str"/>
      <x:c r="F17" s="23" t="str"/>
    </x:row>
    <x:row r="18" ht="15" hidden="0" customHeight="1">
      <x:c r="A18" s="2" t="str">
        <x:v>AuthGoogle</x:v>
      </x:c>
      <x:c r="B18" s="2" t="str">
        <x:v>auth-google</x:v>
      </x:c>
      <x:c r="C18" s="2" t="str">
        <x:v>Авторизация</x:v>
      </x:c>
      <x:c r="D18" s="2" t="str">
        <x:v>Обычный маршрут</x:v>
      </x:c>
      <x:c r="E18" s="2" t="str"/>
      <x:c r="F18" s="23" t="str"/>
    </x:row>
    <x:row r="19" ht="15" hidden="0" customHeight="1">
      <x:c r="A19" s="2" t="str">
        <x:v>AuthX</x:v>
      </x:c>
      <x:c r="B19" s="2" t="str">
        <x:v>auth-x</x:v>
      </x:c>
      <x:c r="C19" s="2" t="str">
        <x:v>Авторизация</x:v>
      </x:c>
      <x:c r="D19" s="2" t="str">
        <x:v>Обычный маршрут</x:v>
      </x:c>
      <x:c r="E19" s="2" t="str"/>
      <x:c r="F19" s="23" t="str"/>
    </x:row>
    <x:row r="20" ht="15" hidden="0" customHeight="1">
      <x:c r="A20" s="2" t="str">
        <x:v>AuthDiscord</x:v>
      </x:c>
      <x:c r="B20" s="2" t="str">
        <x:v>auth-discord</x:v>
      </x:c>
      <x:c r="C20" s="2" t="str">
        <x:v>Авторизация</x:v>
      </x:c>
      <x:c r="D20" s="2" t="str">
        <x:v>Обычный маршрут</x:v>
      </x:c>
      <x:c r="E20" s="2" t="str"/>
      <x:c r="F20" s="23" t="str"/>
    </x:row>
    <x:row r="21" ht="15" hidden="0" customHeight="1">
      <x:c r="A21" s="2" t="str">
        <x:v>AuthYandexSuggestToken</x:v>
      </x:c>
      <x:c r="B21" s="2" t="str">
        <x:v>auth-yandex-suggest-token</x:v>
      </x:c>
      <x:c r="C21" s="2" t="str">
        <x:v>Авторизация</x:v>
      </x:c>
      <x:c r="D21" s="2" t="str">
        <x:v>Обычный маршрут</x:v>
      </x:c>
      <x:c r="E21" s="2" t="str"/>
      <x:c r="F21" s="23" t="str"/>
    </x:row>
    <x:row r="22" ht="15" hidden="0" customHeight="1">
      <x:c r="A22" s="2" t="str">
        <x:v>AuthGuest</x:v>
      </x:c>
      <x:c r="B22" s="2" t="str">
        <x:v>auth-guest</x:v>
      </x:c>
      <x:c r="C22" s="2" t="str">
        <x:v>Авторизация</x:v>
      </x:c>
      <x:c r="D22" s="2" t="str">
        <x:v>Обычный маршрут</x:v>
      </x:c>
      <x:c r="E22" s="2" t="str"/>
      <x:c r="F22" s="23" t="str"/>
    </x:row>
    <x:row r="23" ht="15" hidden="0" customHeight="1">
      <x:c r="A23" s="2" t="str">
        <x:v>DeepLink</x:v>
      </x:c>
      <x:c r="B23" s="2" t="str">
        <x:v>deep-link</x:v>
      </x:c>
      <x:c r="C23" s="2" t="str">
        <x:v>Авторизация</x:v>
      </x:c>
      <x:c r="D23" s="2" t="str">
        <x:v>Обычный маршрут</x:v>
      </x:c>
      <x:c r="E23" s="2" t="str"/>
      <x:c r="F23" s="23" t="str"/>
    </x:row>
    <x:row r="24" ht="15" hidden="0" customHeight="1">
      <x:c r="A24" s="2" t="str">
        <x:v>Game</x:v>
      </x:c>
      <x:c r="B24" s="2" t="str">
        <x:v>/</x:v>
      </x:c>
      <x:c r="C24" s="2" t="str">
        <x:v>Общее</x:v>
      </x:c>
      <x:c r="D24" s="2" t="str">
        <x:v>Обычный маршрут</x:v>
      </x:c>
      <x:c r="E24" s="2" t="str"/>
      <x:c r="F24" s="23" t="str"/>
    </x:row>
    <x:row r="25" ht="15" hidden="0" customHeight="1">
      <x:c r="A25" s="2" t="str">
        <x:v>CreateCharacter</x:v>
      </x:c>
      <x:c r="B25" s="2" t="str">
        <x:v>create-character</x:v>
      </x:c>
      <x:c r="C25" s="2" t="str">
        <x:v>Персонаж</x:v>
      </x:c>
      <x:c r="D25" s="2" t="str">
        <x:v>Обычный маршрут</x:v>
      </x:c>
      <x:c r="E25" s="2" t="str"/>
      <x:c r="F25" s="23" t="str"/>
    </x:row>
    <x:row r="26" ht="15" hidden="0" customHeight="1">
      <x:c r="A26" s="2" t="str">
        <x:v>Town</x:v>
      </x:c>
      <x:c r="B26" s="2" t="str">
        <x:v>town</x:v>
      </x:c>
      <x:c r="C26" s="2" t="str">
        <x:v>Город</x:v>
      </x:c>
      <x:c r="D26" s="2" t="str">
        <x:v>Обычный маршрут</x:v>
      </x:c>
      <x:c r="E26" s="2" t="str"/>
      <x:c r="F26" s="23" t="str"/>
    </x:row>
    <x:row r="27" ht="15" hidden="0" customHeight="1">
      <x:c r="A27" s="2" t="str">
        <x:v>ActivityBoard</x:v>
      </x:c>
      <x:c r="B27" s="2" t="str">
        <x:v>activity-board</x:v>
      </x:c>
      <x:c r="C27" s="2" t="str">
        <x:v>События и сезон</x:v>
      </x:c>
      <x:c r="D27" s="2" t="str">
        <x:v>Обычный маршрут</x:v>
      </x:c>
      <x:c r="E27" s="2" t="str"/>
      <x:c r="F27" s="23" t="str"/>
    </x:row>
    <x:row r="28" ht="15" hidden="0" customHeight="1">
      <x:c r="A28" s="2" t="str">
        <x:v>ActivityBoardRewards</x:v>
      </x:c>
      <x:c r="B28" s="2" t="str">
        <x:v>activity-board/rewards</x:v>
      </x:c>
      <x:c r="C28" s="2" t="str">
        <x:v>События и сезон</x:v>
      </x:c>
      <x:c r="D28" s="2" t="str">
        <x:v>Обычный маршрут</x:v>
      </x:c>
      <x:c r="E28" s="2" t="str"/>
      <x:c r="F28" s="23" t="str"/>
    </x:row>
    <x:row r="29" ht="15" hidden="0" customHeight="1">
      <x:c r="A29" s="2" t="str">
        <x:v>ActivityBoardTasks</x:v>
      </x:c>
      <x:c r="B29" s="2" t="str">
        <x:v>activity-board/tasks</x:v>
      </x:c>
      <x:c r="C29" s="2" t="str">
        <x:v>События и сезон</x:v>
      </x:c>
      <x:c r="D29" s="2" t="str">
        <x:v>Обычный маршрут</x:v>
      </x:c>
      <x:c r="E29" s="2" t="str"/>
      <x:c r="F29" s="23" t="str"/>
    </x:row>
    <x:row r="30" ht="15" hidden="0" customHeight="1">
      <x:c r="A30" s="2" t="str">
        <x:v>Bonuses</x:v>
      </x:c>
      <x:c r="B30" s="2" t="str">
        <x:v>bonuses</x:v>
      </x:c>
      <x:c r="C30" s="2" t="str">
        <x:v>События и сезон</x:v>
      </x:c>
      <x:c r="D30" s="2" t="str">
        <x:v>Обычный маршрут</x:v>
      </x:c>
      <x:c r="E30" s="2" t="str"/>
      <x:c r="F30" s="23" t="str"/>
    </x:row>
    <x:row r="31" ht="15" hidden="0" customHeight="1">
      <x:c r="A31" s="2" t="str">
        <x:v>BonusesSevenDays</x:v>
      </x:c>
      <x:c r="B31" s="2" t="str">
        <x:v>bonuses/seven-days</x:v>
      </x:c>
      <x:c r="C31" s="2" t="str">
        <x:v>События и сезон</x:v>
      </x:c>
      <x:c r="D31" s="2" t="str">
        <x:v>Обычный маршрут</x:v>
      </x:c>
      <x:c r="E31" s="2" t="str"/>
      <x:c r="F31" s="23" t="str"/>
    </x:row>
    <x:row r="32" ht="15" hidden="0" customHeight="1">
      <x:c r="A32" s="2" t="str">
        <x:v>BonusesCalendar</x:v>
      </x:c>
      <x:c r="B32" s="2" t="str">
        <x:v>bonuses/calendar</x:v>
      </x:c>
      <x:c r="C32" s="2" t="str">
        <x:v>События и сезон</x:v>
      </x:c>
      <x:c r="D32" s="2" t="str">
        <x:v>Обычный маршрут</x:v>
      </x:c>
      <x:c r="E32" s="2" t="str"/>
      <x:c r="F32" s="23" t="str"/>
    </x:row>
    <x:row r="33" ht="15" hidden="0" customHeight="1">
      <x:c r="A33" s="2" t="str">
        <x:v>LiveOpsEvent</x:v>
      </x:c>
      <x:c r="B33" s="2" t="str">
        <x:v>live-ops-event</x:v>
      </x:c>
      <x:c r="C33" s="2" t="str">
        <x:v>События и сезон</x:v>
      </x:c>
      <x:c r="D33" s="2" t="str">
        <x:v>Обычный маршрут</x:v>
      </x:c>
      <x:c r="E33" s="2" t="str"/>
      <x:c r="F33" s="23" t="str"/>
    </x:row>
    <x:row r="34" ht="15" hidden="0" customHeight="1">
      <x:c r="A34" s="2" t="str">
        <x:v>LiveOpsEventConditions</x:v>
      </x:c>
      <x:c r="B34" s="2" t="str">
        <x:v>live-ops-event/conditions</x:v>
      </x:c>
      <x:c r="C34" s="2" t="str">
        <x:v>События и сезон</x:v>
      </x:c>
      <x:c r="D34" s="2" t="str">
        <x:v>Неочевидный / служебный</x:v>
      </x:c>
      <x:c r="E34" s="2" t="str">
        <x:v>Отдельный экран условий события</x:v>
      </x:c>
      <x:c r="F34" s="23" t="str"/>
    </x:row>
    <x:row r="35" ht="15" hidden="0" customHeight="1">
      <x:c r="A35" s="2" t="str">
        <x:v>LiveOpsEventQuests</x:v>
      </x:c>
      <x:c r="B35" s="2" t="str">
        <x:v>live-ops-event/quests</x:v>
      </x:c>
      <x:c r="C35" s="2" t="str">
        <x:v>События и сезон</x:v>
      </x:c>
      <x:c r="D35" s="2" t="str">
        <x:v>Неочевидный / служебный</x:v>
      </x:c>
      <x:c r="E35" s="2" t="str">
        <x:v>Отдельный экран заданий события</x:v>
      </x:c>
      <x:c r="F35" s="23" t="str"/>
    </x:row>
    <x:row r="36" ht="15" hidden="0" customHeight="1">
      <x:c r="A36" s="2" t="str">
        <x:v>LiveOpsEventStore</x:v>
      </x:c>
      <x:c r="B36" s="2" t="str">
        <x:v>live-ops-event/store</x:v>
      </x:c>
      <x:c r="C36" s="2" t="str">
        <x:v>События и сезон</x:v>
      </x:c>
      <x:c r="D36" s="2" t="str">
        <x:v>Неочевидный / служебный</x:v>
      </x:c>
      <x:c r="E36" s="2" t="str">
        <x:v>Отдельный магазин события</x:v>
      </x:c>
      <x:c r="F36" s="23" t="str"/>
    </x:row>
    <x:row r="37" ht="15" hidden="0" customHeight="1">
      <x:c r="A37" s="2" t="str">
        <x:v>Season</x:v>
      </x:c>
      <x:c r="B37" s="2" t="str">
        <x:v>season</x:v>
      </x:c>
      <x:c r="C37" s="2" t="str">
        <x:v>События и сезон</x:v>
      </x:c>
      <x:c r="D37" s="2" t="str">
        <x:v>Обычный маршрут</x:v>
      </x:c>
      <x:c r="E37" s="2" t="str"/>
      <x:c r="F37" s="23" t="str"/>
    </x:row>
    <x:row r="38" ht="15" hidden="0" customHeight="1">
      <x:c r="A38" s="2" t="str">
        <x:v>SeasonJourney</x:v>
      </x:c>
      <x:c r="B38" s="2" t="str">
        <x:v>season/journey</x:v>
      </x:c>
      <x:c r="C38" s="2" t="str">
        <x:v>События и сезон</x:v>
      </x:c>
      <x:c r="D38" s="2" t="str">
        <x:v>Обычный маршрут</x:v>
      </x:c>
      <x:c r="E38" s="2" t="str"/>
      <x:c r="F38" s="23" t="str"/>
    </x:row>
    <x:row r="39" ht="15" hidden="0" customHeight="1">
      <x:c r="A39" s="2" t="str">
        <x:v>SeasonReward</x:v>
      </x:c>
      <x:c r="B39" s="2" t="str">
        <x:v>season/reward</x:v>
      </x:c>
      <x:c r="C39" s="2" t="str">
        <x:v>События и сезон</x:v>
      </x:c>
      <x:c r="D39" s="2" t="str">
        <x:v>Обычный маршрут</x:v>
      </x:c>
      <x:c r="E39" s="2" t="str"/>
      <x:c r="F39" s="23" t="str"/>
    </x:row>
    <x:row r="40" ht="15" hidden="0" customHeight="1">
      <x:c r="A40" s="2" t="str">
        <x:v>SeasonBlacksmith</x:v>
      </x:c>
      <x:c r="B40" s="2" t="str">
        <x:v>season/blacksmith</x:v>
      </x:c>
      <x:c r="C40" s="2" t="str">
        <x:v>События и сезон</x:v>
      </x:c>
      <x:c r="D40" s="2" t="str">
        <x:v>Неочевидный / служебный</x:v>
      </x:c>
      <x:c r="E40" s="2" t="str">
        <x:v>Сезонная кузница</x:v>
      </x:c>
      <x:c r="F40" s="23" t="str"/>
    </x:row>
    <x:row r="41" ht="15" hidden="0" customHeight="1">
      <x:c r="A41" s="2" t="str">
        <x:v>SeasonInfo</x:v>
      </x:c>
      <x:c r="B41" s="2" t="str">
        <x:v>season/info</x:v>
      </x:c>
      <x:c r="C41" s="2" t="str">
        <x:v>События и сезон</x:v>
      </x:c>
      <x:c r="D41" s="2" t="str">
        <x:v>Обычный маршрут</x:v>
      </x:c>
      <x:c r="E41" s="2" t="str"/>
      <x:c r="F41" s="23" t="str"/>
    </x:row>
    <x:row r="42" ht="15" hidden="0" customHeight="1">
      <x:c r="A42" s="2" t="str">
        <x:v>SeasonAnnouncement</x:v>
      </x:c>
      <x:c r="B42" s="2" t="str">
        <x:v>season/announcement</x:v>
      </x:c>
      <x:c r="C42" s="2" t="str">
        <x:v>События и сезон</x:v>
      </x:c>
      <x:c r="D42" s="2" t="str">
        <x:v>Неочевидный / служебный</x:v>
      </x:c>
      <x:c r="E42" s="2" t="str">
        <x:v>Экран анонса сезона</x:v>
      </x:c>
      <x:c r="F42" s="23" t="str"/>
    </x:row>
    <x:row r="43" ht="15" hidden="0" customHeight="1">
      <x:c r="A43" s="2" t="str">
        <x:v>SeasonLeveling</x:v>
      </x:c>
      <x:c r="B43" s="2" t="str">
        <x:v>season-leveling</x:v>
      </x:c>
      <x:c r="C43" s="2" t="str">
        <x:v>События и сезон</x:v>
      </x:c>
      <x:c r="D43" s="2" t="str">
        <x:v>Неочевидный / служебный</x:v>
      </x:c>
      <x:c r="E43" s="2" t="str">
        <x:v>Отдельное сезонное повышение уровня</x:v>
      </x:c>
      <x:c r="F43" s="23" t="str"/>
    </x:row>
    <x:row r="44" ht="15" hidden="0" customHeight="1">
      <x:c r="A44" s="2" t="str">
        <x:v>Party</x:v>
      </x:c>
      <x:c r="B44" s="2" t="str">
        <x:v>party</x:v>
      </x:c>
      <x:c r="C44" s="2" t="str">
        <x:v>Бои и группы</x:v>
      </x:c>
      <x:c r="D44" s="2" t="str">
        <x:v>Обычный маршрут</x:v>
      </x:c>
      <x:c r="E44" s="2" t="str"/>
      <x:c r="F44" s="23" t="str"/>
    </x:row>
    <x:row r="45" ht="15" hidden="0" customHeight="1">
      <x:c r="A45" s="2" t="str">
        <x:v>PlayerProfile</x:v>
      </x:c>
      <x:c r="B45" s="2" t="str">
        <x:v>player/:userID</x:v>
      </x:c>
      <x:c r="C45" s="2" t="str">
        <x:v>Персонаж</x:v>
      </x:c>
      <x:c r="D45" s="2" t="str">
        <x:v>Обычный маршрут</x:v>
      </x:c>
      <x:c r="E45" s="2" t="str"/>
      <x:c r="F45" s="23" t="str"/>
    </x:row>
    <x:row r="46" ht="15" hidden="0" customHeight="1">
      <x:c r="A46" s="2" t="str">
        <x:v>TownArmory</x:v>
      </x:c>
      <x:c r="B46" s="2" t="str">
        <x:v>town/armory</x:v>
      </x:c>
      <x:c r="C46" s="2" t="str">
        <x:v>Город</x:v>
      </x:c>
      <x:c r="D46" s="2" t="str">
        <x:v>Обычный маршрут</x:v>
      </x:c>
      <x:c r="E46" s="2" t="str"/>
      <x:c r="F46" s="23" t="str"/>
    </x:row>
    <x:row r="47" ht="15" hidden="0" customHeight="1">
      <x:c r="A47" s="2" t="str">
        <x:v>TownBattles</x:v>
      </x:c>
      <x:c r="B47" s="2" t="str">
        <x:v>town/battles</x:v>
      </x:c>
      <x:c r="C47" s="2" t="str">
        <x:v>Город</x:v>
      </x:c>
      <x:c r="D47" s="2" t="str">
        <x:v>Обычный маршрут</x:v>
      </x:c>
      <x:c r="E47" s="2" t="str"/>
      <x:c r="F47" s="23" t="str"/>
    </x:row>
    <x:row r="48" ht="15" hidden="0" customHeight="1">
      <x:c r="A48" s="2" t="str">
        <x:v>TownBattlesArena</x:v>
      </x:c>
      <x:c r="B48" s="2" t="str">
        <x:v>town/battles/arena</x:v>
      </x:c>
      <x:c r="C48" s="2" t="str">
        <x:v>Город</x:v>
      </x:c>
      <x:c r="D48" s="2" t="str">
        <x:v>Обычный маршрут</x:v>
      </x:c>
      <x:c r="E48" s="2" t="str"/>
      <x:c r="F48" s="23" t="str"/>
    </x:row>
    <x:row r="49" ht="15" hidden="0" customHeight="1">
      <x:c r="A49" s="2" t="str">
        <x:v>TownBattlesDungeons</x:v>
      </x:c>
      <x:c r="B49" s="2" t="str">
        <x:v>town/battles/dungeon</x:v>
      </x:c>
      <x:c r="C49" s="2" t="str">
        <x:v>Город</x:v>
      </x:c>
      <x:c r="D49" s="2" t="str">
        <x:v>Обычный маршрут</x:v>
      </x:c>
      <x:c r="E49" s="2" t="str"/>
      <x:c r="F49" s="23" t="str"/>
    </x:row>
    <x:row r="50" ht="15" hidden="0" customHeight="1">
      <x:c r="A50" s="2" t="str">
        <x:v>TownHiking</x:v>
      </x:c>
      <x:c r="B50" s="2" t="str">
        <x:v>town/hiking</x:v>
      </x:c>
      <x:c r="C50" s="2" t="str">
        <x:v>Город</x:v>
      </x:c>
      <x:c r="D50" s="2" t="str">
        <x:v>Обычный маршрут</x:v>
      </x:c>
      <x:c r="E50" s="2" t="str"/>
      <x:c r="F50" s="23" t="str"/>
    </x:row>
    <x:row r="51" ht="15" hidden="0" customHeight="1">
      <x:c r="A51" s="2" t="str">
        <x:v>TownBattlesLocations</x:v>
      </x:c>
      <x:c r="B51" s="2" t="str">
        <x:v>town/battles/location</x:v>
      </x:c>
      <x:c r="C51" s="2" t="str">
        <x:v>Город</x:v>
      </x:c>
      <x:c r="D51" s="2" t="str">
        <x:v>Обычный маршрут</x:v>
      </x:c>
      <x:c r="E51" s="2" t="str"/>
      <x:c r="F51" s="23" t="str"/>
    </x:row>
    <x:row r="52" ht="15" hidden="0" customHeight="1">
      <x:c r="A52" s="2" t="str">
        <x:v>TownBuildings</x:v>
      </x:c>
      <x:c r="B52" s="2" t="str">
        <x:v>town/buildings</x:v>
      </x:c>
      <x:c r="C52" s="2" t="str">
        <x:v>Город</x:v>
      </x:c>
      <x:c r="D52" s="2" t="str">
        <x:v>Обычный маршрут</x:v>
      </x:c>
      <x:c r="E52" s="2" t="str"/>
      <x:c r="F52" s="23" t="str"/>
    </x:row>
    <x:row r="53" ht="15" hidden="0" customHeight="1">
      <x:c r="A53" s="2" t="str">
        <x:v>TownBuildingsCraft</x:v>
      </x:c>
      <x:c r="B53" s="2" t="str">
        <x:v>town/buildings/craft</x:v>
      </x:c>
      <x:c r="C53" s="2" t="str">
        <x:v>Город</x:v>
      </x:c>
      <x:c r="D53" s="2" t="str">
        <x:v>Обычный маршрут</x:v>
      </x:c>
      <x:c r="E53" s="2" t="str"/>
      <x:c r="F53" s="23" t="str"/>
    </x:row>
    <x:row r="54" ht="15" hidden="0" customHeight="1">
      <x:c r="A54" s="2" t="str">
        <x:v>TownBuildingsHomestead</x:v>
      </x:c>
      <x:c r="B54" s="2" t="str">
        <x:v>town/buildings/homestead</x:v>
      </x:c>
      <x:c r="C54" s="2" t="str">
        <x:v>Город</x:v>
      </x:c>
      <x:c r="D54" s="2" t="str">
        <x:v>Обычный маршрут</x:v>
      </x:c>
      <x:c r="E54" s="2" t="str"/>
      <x:c r="F54" s="23" t="str"/>
    </x:row>
    <x:row r="55" ht="15" hidden="0" customHeight="1">
      <x:c r="A55" s="2" t="str">
        <x:v>TownBuildingsSquare</x:v>
      </x:c>
      <x:c r="B55" s="2" t="str">
        <x:v>town/buildings/square</x:v>
      </x:c>
      <x:c r="C55" s="2" t="str">
        <x:v>Город</x:v>
      </x:c>
      <x:c r="D55" s="2" t="str">
        <x:v>Обычный маршрут</x:v>
      </x:c>
      <x:c r="E55" s="2" t="str"/>
      <x:c r="F55" s="23" t="str"/>
    </x:row>
    <x:row r="56" ht="15" hidden="0" customHeight="1">
      <x:c r="A56" s="2" t="str">
        <x:v>TownBlacksmith</x:v>
      </x:c>
      <x:c r="B56" s="2" t="str">
        <x:v>town/blacksmith</x:v>
      </x:c>
      <x:c r="C56" s="2" t="str">
        <x:v>Город</x:v>
      </x:c>
      <x:c r="D56" s="2" t="str">
        <x:v>Обычный маршрут</x:v>
      </x:c>
      <x:c r="E56" s="2" t="str"/>
      <x:c r="F56" s="23" t="str"/>
    </x:row>
    <x:row r="57" ht="15" hidden="0" customHeight="1">
      <x:c r="A57" s="2" t="str">
        <x:v>TownBlacksmithCreation</x:v>
      </x:c>
      <x:c r="B57" s="2" t="str">
        <x:v>town/blacksmith/creation</x:v>
      </x:c>
      <x:c r="C57" s="2" t="str">
        <x:v>Город</x:v>
      </x:c>
      <x:c r="D57" s="2" t="str">
        <x:v>Обычный маршрут</x:v>
      </x:c>
      <x:c r="E57" s="2" t="str"/>
      <x:c r="F57" s="23" t="str"/>
    </x:row>
    <x:row r="58" ht="15" hidden="0" customHeight="1">
      <x:c r="A58" s="2" t="str">
        <x:v>TownBlacksmithForging</x:v>
      </x:c>
      <x:c r="B58" s="2" t="str">
        <x:v>town/blacksmith/forging</x:v>
      </x:c>
      <x:c r="C58" s="2" t="str">
        <x:v>Город</x:v>
      </x:c>
      <x:c r="D58" s="2" t="str">
        <x:v>Обычный маршрут</x:v>
      </x:c>
      <x:c r="E58" s="2" t="str"/>
      <x:c r="F58" s="23" t="str"/>
    </x:row>
    <x:row r="59" ht="15" hidden="0" customHeight="1">
      <x:c r="A59" s="2" t="str">
        <x:v>TownBlacksmithMelting</x:v>
      </x:c>
      <x:c r="B59" s="2" t="str">
        <x:v>town/blacksmith/melting</x:v>
      </x:c>
      <x:c r="C59" s="2" t="str">
        <x:v>Город</x:v>
      </x:c>
      <x:c r="D59" s="2" t="str">
        <x:v>Обычный маршрут</x:v>
      </x:c>
      <x:c r="E59" s="2" t="str"/>
      <x:c r="F59" s="23" t="str"/>
    </x:row>
    <x:row r="60" ht="15" hidden="0" customHeight="1">
      <x:c r="A60" s="2" t="str">
        <x:v>TownBlacksmithSalvage</x:v>
      </x:c>
      <x:c r="B60" s="2" t="str">
        <x:v>town/blacksmith/salvage</x:v>
      </x:c>
      <x:c r="C60" s="2" t="str">
        <x:v>Город</x:v>
      </x:c>
      <x:c r="D60" s="2" t="str">
        <x:v>Обычный маршрут</x:v>
      </x:c>
      <x:c r="E60" s="2" t="str"/>
      <x:c r="F60" s="23" t="str"/>
    </x:row>
    <x:row r="61" ht="15" hidden="0" customHeight="1">
      <x:c r="A61" s="2" t="str">
        <x:v>TownAtelier</x:v>
      </x:c>
      <x:c r="B61" s="2" t="str">
        <x:v>town/atelier</x:v>
      </x:c>
      <x:c r="C61" s="2" t="str">
        <x:v>Город</x:v>
      </x:c>
      <x:c r="D61" s="2" t="str">
        <x:v>Обычный маршрут</x:v>
      </x:c>
      <x:c r="E61" s="2" t="str"/>
      <x:c r="F61" s="23" t="str"/>
    </x:row>
    <x:row r="62" ht="15" hidden="0" customHeight="1">
      <x:c r="A62" s="2" t="str">
        <x:v>TownAtelierCreation</x:v>
      </x:c>
      <x:c r="B62" s="2" t="str">
        <x:v>town/atelier/creation</x:v>
      </x:c>
      <x:c r="C62" s="2" t="str">
        <x:v>Город</x:v>
      </x:c>
      <x:c r="D62" s="2" t="str">
        <x:v>Обычный маршрут</x:v>
      </x:c>
      <x:c r="E62" s="2" t="str"/>
      <x:c r="F62" s="23" t="str"/>
    </x:row>
    <x:row r="63" ht="15" hidden="0" customHeight="1">
      <x:c r="A63" s="2" t="str">
        <x:v>TownAtelierForging</x:v>
      </x:c>
      <x:c r="B63" s="2" t="str">
        <x:v>town/atelier/forging</x:v>
      </x:c>
      <x:c r="C63" s="2" t="str">
        <x:v>Город</x:v>
      </x:c>
      <x:c r="D63" s="2" t="str">
        <x:v>Обычный маршрут</x:v>
      </x:c>
      <x:c r="E63" s="2" t="str"/>
      <x:c r="F63" s="23" t="str"/>
    </x:row>
    <x:row r="64" ht="15" hidden="0" customHeight="1">
      <x:c r="A64" s="2" t="str">
        <x:v>TownAtelierMelting</x:v>
      </x:c>
      <x:c r="B64" s="2" t="str">
        <x:v>town/atelier/melting</x:v>
      </x:c>
      <x:c r="C64" s="2" t="str">
        <x:v>Город</x:v>
      </x:c>
      <x:c r="D64" s="2" t="str">
        <x:v>Обычный маршрут</x:v>
      </x:c>
      <x:c r="E64" s="2" t="str"/>
      <x:c r="F64" s="23" t="str"/>
    </x:row>
    <x:row r="65" ht="15" hidden="0" customHeight="1">
      <x:c r="A65" s="2" t="str">
        <x:v>TownAtelierSalvage</x:v>
      </x:c>
      <x:c r="B65" s="2" t="str">
        <x:v>town/atelier/salvage</x:v>
      </x:c>
      <x:c r="C65" s="2" t="str">
        <x:v>Город</x:v>
      </x:c>
      <x:c r="D65" s="2" t="str">
        <x:v>Обычный маршрут</x:v>
      </x:c>
      <x:c r="E65" s="2" t="str"/>
      <x:c r="F65" s="23" t="str"/>
    </x:row>
    <x:row r="66" ht="15" hidden="0" customHeight="1">
      <x:c r="A66" s="2" t="str">
        <x:v>TownCraftworks</x:v>
      </x:c>
      <x:c r="B66" s="2" t="str">
        <x:v>town/craftworks</x:v>
      </x:c>
      <x:c r="C66" s="2" t="str">
        <x:v>Город</x:v>
      </x:c>
      <x:c r="D66" s="2" t="str">
        <x:v>Обычный маршрут</x:v>
      </x:c>
      <x:c r="E66" s="2" t="str"/>
      <x:c r="F66" s="23" t="str"/>
    </x:row>
    <x:row r="67" ht="15" hidden="0" customHeight="1">
      <x:c r="A67" s="2" t="str">
        <x:v>TownCraftworksCreation</x:v>
      </x:c>
      <x:c r="B67" s="2" t="str">
        <x:v>town/craftworks/creation</x:v>
      </x:c>
      <x:c r="C67" s="2" t="str">
        <x:v>Город</x:v>
      </x:c>
      <x:c r="D67" s="2" t="str">
        <x:v>Обычный маршрут</x:v>
      </x:c>
      <x:c r="E67" s="2" t="str"/>
      <x:c r="F67" s="23" t="str"/>
    </x:row>
    <x:row r="68" ht="15" hidden="0" customHeight="1">
      <x:c r="A68" s="2" t="str">
        <x:v>TownCraftworksForging</x:v>
      </x:c>
      <x:c r="B68" s="2" t="str">
        <x:v>town/craftworks/forging</x:v>
      </x:c>
      <x:c r="C68" s="2" t="str">
        <x:v>Город</x:v>
      </x:c>
      <x:c r="D68" s="2" t="str">
        <x:v>Обычный маршрут</x:v>
      </x:c>
      <x:c r="E68" s="2" t="str"/>
      <x:c r="F68" s="23" t="str"/>
    </x:row>
    <x:row r="69" ht="15" hidden="0" customHeight="1">
      <x:c r="A69" s="2" t="str">
        <x:v>TownCraftworksMelting</x:v>
      </x:c>
      <x:c r="B69" s="2" t="str">
        <x:v>town/craftworks/melting</x:v>
      </x:c>
      <x:c r="C69" s="2" t="str">
        <x:v>Город</x:v>
      </x:c>
      <x:c r="D69" s="2" t="str">
        <x:v>Обычный маршрут</x:v>
      </x:c>
      <x:c r="E69" s="2" t="str"/>
      <x:c r="F69" s="23" t="str"/>
    </x:row>
    <x:row r="70" ht="15" hidden="0" customHeight="1">
      <x:c r="A70" s="2" t="str">
        <x:v>TownCraftworksSalvage</x:v>
      </x:c>
      <x:c r="B70" s="2" t="str">
        <x:v>town/craftworks/salvage</x:v>
      </x:c>
      <x:c r="C70" s="2" t="str">
        <x:v>Город</x:v>
      </x:c>
      <x:c r="D70" s="2" t="str">
        <x:v>Обычный маршрут</x:v>
      </x:c>
      <x:c r="E70" s="2" t="str"/>
      <x:c r="F70" s="23" t="str"/>
    </x:row>
    <x:row r="71" ht="15" hidden="0" customHeight="1">
      <x:c r="A71" s="2" t="str">
        <x:v>TownJeweler</x:v>
      </x:c>
      <x:c r="B71" s="2" t="str">
        <x:v>town/jeweler</x:v>
      </x:c>
      <x:c r="C71" s="2" t="str">
        <x:v>Город</x:v>
      </x:c>
      <x:c r="D71" s="2" t="str">
        <x:v>Обычный маршрут</x:v>
      </x:c>
      <x:c r="E71" s="2" t="str"/>
      <x:c r="F71" s="23" t="str"/>
    </x:row>
    <x:row r="72" ht="15" hidden="0" customHeight="1">
      <x:c r="A72" s="2" t="str">
        <x:v>TownJewelerSockets</x:v>
      </x:c>
      <x:c r="B72" s="2" t="str">
        <x:v>town/jeweler/sockets</x:v>
      </x:c>
      <x:c r="C72" s="2" t="str">
        <x:v>Город</x:v>
      </x:c>
      <x:c r="D72" s="2" t="str">
        <x:v>Обычный маршрут</x:v>
      </x:c>
      <x:c r="E72" s="2" t="str"/>
      <x:c r="F72" s="23" t="str"/>
    </x:row>
    <x:row r="73" ht="15" hidden="0" customHeight="1">
      <x:c r="A73" s="2" t="str">
        <x:v>TownJewelerCreation</x:v>
      </x:c>
      <x:c r="B73" s="2" t="str">
        <x:v>town/jeweler/creation</x:v>
      </x:c>
      <x:c r="C73" s="2" t="str">
        <x:v>Город</x:v>
      </x:c>
      <x:c r="D73" s="2" t="str">
        <x:v>Обычный маршрут</x:v>
      </x:c>
      <x:c r="E73" s="2" t="str"/>
      <x:c r="F73" s="23" t="str"/>
    </x:row>
    <x:row r="74" ht="15" hidden="0" customHeight="1">
      <x:c r="A74" s="2" t="str">
        <x:v>TownJewelerCleansing</x:v>
      </x:c>
      <x:c r="B74" s="2" t="str">
        <x:v>town/jeweler/cleansing</x:v>
      </x:c>
      <x:c r="C74" s="2" t="str">
        <x:v>Город</x:v>
      </x:c>
      <x:c r="D74" s="2" t="str">
        <x:v>Обычный маршрут</x:v>
      </x:c>
      <x:c r="E74" s="2" t="str"/>
      <x:c r="F74" s="23" t="str"/>
    </x:row>
    <x:row r="75" ht="15" hidden="0" customHeight="1">
      <x:c r="A75" s="2" t="str">
        <x:v>TownJewelerInsertion</x:v>
      </x:c>
      <x:c r="B75" s="2" t="str">
        <x:v>town/jeweler/insertion</x:v>
      </x:c>
      <x:c r="C75" s="2" t="str">
        <x:v>Город</x:v>
      </x:c>
      <x:c r="D75" s="2" t="str">
        <x:v>Обычный маршрут</x:v>
      </x:c>
      <x:c r="E75" s="2" t="str"/>
      <x:c r="F75" s="23" t="str"/>
    </x:row>
    <x:row r="76" ht="15" hidden="0" customHeight="1">
      <x:c r="A76" s="2" t="str">
        <x:v>TownDungeon</x:v>
      </x:c>
      <x:c r="B76" s="2" t="str">
        <x:v>town/dungeon/:dungeonID</x:v>
      </x:c>
      <x:c r="C76" s="2" t="str">
        <x:v>Город</x:v>
      </x:c>
      <x:c r="D76" s="2" t="str">
        <x:v>Обычный маршрут</x:v>
      </x:c>
      <x:c r="E76" s="2" t="str"/>
      <x:c r="F76" s="23" t="str"/>
    </x:row>
    <x:row r="77" ht="15" hidden="0" customHeight="1">
      <x:c r="A77" s="2" t="str">
        <x:v>TownDungeonLive</x:v>
      </x:c>
      <x:c r="B77" s="2" t="str">
        <x:v>town/dungeon/:dungeonID/live</x:v>
      </x:c>
      <x:c r="C77" s="2" t="str">
        <x:v>Город</x:v>
      </x:c>
      <x:c r="D77" s="2" t="str">
        <x:v>Неочевидный / служебный</x:v>
      </x:c>
      <x:c r="E77" s="2" t="str">
        <x:v>Live-экран подземелья</x:v>
      </x:c>
      <x:c r="F77" s="23" t="str"/>
    </x:row>
    <x:row r="78" ht="15" hidden="0" customHeight="1">
      <x:c r="A78" s="2" t="str">
        <x:v>BattleStats</x:v>
      </x:c>
      <x:c r="B78" s="2" t="str">
        <x:v>town/battle-stats/:battleID/:historyID</x:v>
      </x:c>
      <x:c r="C78" s="2" t="str">
        <x:v>Город</x:v>
      </x:c>
      <x:c r="D78" s="2" t="str">
        <x:v>Неочевидный / служебный</x:v>
      </x:c>
      <x:c r="E78" s="2" t="str">
        <x:v>Статистика конкретного боя и истории</x:v>
      </x:c>
      <x:c r="F78" s="23" t="str"/>
    </x:row>
    <x:row r="79" ht="15" hidden="0" customHeight="1">
      <x:c r="A79" s="2" t="str">
        <x:v>TownFountain</x:v>
      </x:c>
      <x:c r="B79" s="2" t="str">
        <x:v>town/fountain</x:v>
      </x:c>
      <x:c r="C79" s="2" t="str">
        <x:v>Город</x:v>
      </x:c>
      <x:c r="D79" s="2" t="str">
        <x:v>Обычный маршрут</x:v>
      </x:c>
      <x:c r="E79" s="2" t="str"/>
      <x:c r="F79" s="23" t="str"/>
    </x:row>
    <x:row r="80" ht="15" hidden="0" customHeight="1">
      <x:c r="A80" s="2" t="str">
        <x:v>TownFurnace</x:v>
      </x:c>
      <x:c r="B80" s="2" t="str">
        <x:v>town/furnace</x:v>
      </x:c>
      <x:c r="C80" s="2" t="str">
        <x:v>Город</x:v>
      </x:c>
      <x:c r="D80" s="2" t="str">
        <x:v>Обычный маршрут</x:v>
      </x:c>
      <x:c r="E80" s="2" t="str"/>
      <x:c r="F80" s="23" t="str"/>
    </x:row>
    <x:row r="81" ht="15" hidden="0" customHeight="1">
      <x:c r="A81" s="2" t="str">
        <x:v>TownHomeSteadHallOfHeroes</x:v>
      </x:c>
      <x:c r="B81" s="2" t="str">
        <x:v>town/homestead/hall-of-heroes</x:v>
      </x:c>
      <x:c r="C81" s="2" t="str">
        <x:v>Город</x:v>
      </x:c>
      <x:c r="D81" s="2" t="str">
        <x:v>Обычный маршрут</x:v>
      </x:c>
      <x:c r="E81" s="2" t="str"/>
      <x:c r="F81" s="23" t="str"/>
    </x:row>
    <x:row r="82" ht="15" hidden="0" customHeight="1">
      <x:c r="A82" s="2" t="str">
        <x:v>TownLaboratory</x:v>
      </x:c>
      <x:c r="B82" s="2" t="str">
        <x:v>town/laboratory</x:v>
      </x:c>
      <x:c r="C82" s="2" t="str">
        <x:v>Город</x:v>
      </x:c>
      <x:c r="D82" s="2" t="str">
        <x:v>Обычный маршрут</x:v>
      </x:c>
      <x:c r="E82" s="2" t="str"/>
      <x:c r="F82" s="23" t="str"/>
    </x:row>
    <x:row r="83" ht="15" hidden="0" customHeight="1">
      <x:c r="A83" s="2" t="str">
        <x:v>TownLaboratoryEnhancement</x:v>
      </x:c>
      <x:c r="B83" s="2" t="str">
        <x:v>town/laboratory/enhancement</x:v>
      </x:c>
      <x:c r="C83" s="2" t="str">
        <x:v>Город</x:v>
      </x:c>
      <x:c r="D83" s="2" t="str">
        <x:v>Обычный маршрут</x:v>
      </x:c>
      <x:c r="E83" s="2" t="str"/>
      <x:c r="F83" s="23" t="str"/>
    </x:row>
    <x:row r="84" ht="15" hidden="0" customHeight="1">
      <x:c r="A84" s="2" t="str">
        <x:v>TownLaboratoryEssence</x:v>
      </x:c>
      <x:c r="B84" s="2" t="str">
        <x:v>town/laboratory/essence</x:v>
      </x:c>
      <x:c r="C84" s="2" t="str">
        <x:v>Город</x:v>
      </x:c>
      <x:c r="D84" s="2" t="str">
        <x:v>Неочевидный / служебный</x:v>
      </x:c>
      <x:c r="E84" s="2" t="str">
        <x:v>Лаборатория: эссенции</x:v>
      </x:c>
      <x:c r="F84" s="23" t="str"/>
    </x:row>
    <x:row r="85" ht="15" hidden="0" customHeight="1">
      <x:c r="A85" s="2" t="str">
        <x:v>TownLaboratoryExtraction</x:v>
      </x:c>
      <x:c r="B85" s="2" t="str">
        <x:v>town/laboratory/extraction</x:v>
      </x:c>
      <x:c r="C85" s="2" t="str">
        <x:v>Город</x:v>
      </x:c>
      <x:c r="D85" s="2" t="str">
        <x:v>Неочевидный / служебный</x:v>
      </x:c>
      <x:c r="E85" s="2" t="str">
        <x:v>Лаборатория: извлечение</x:v>
      </x:c>
      <x:c r="F85" s="23" t="str"/>
    </x:row>
    <x:row r="86" ht="15" hidden="0" customHeight="1">
      <x:c r="A86" s="2" t="str">
        <x:v>TownLaboratoryFusion</x:v>
      </x:c>
      <x:c r="B86" s="2" t="str">
        <x:v>town/laboratory/fusion</x:v>
      </x:c>
      <x:c r="C86" s="2" t="str">
        <x:v>Город</x:v>
      </x:c>
      <x:c r="D86" s="2" t="str">
        <x:v>Неочевидный / служебный</x:v>
      </x:c>
      <x:c r="E86" s="2" t="str">
        <x:v>Лаборатория: слияние</x:v>
      </x:c>
      <x:c r="F86" s="23" t="str"/>
    </x:row>
    <x:row r="87" ht="15" hidden="0" customHeight="1">
      <x:c r="A87" s="2" t="str">
        <x:v>TownLibrary</x:v>
      </x:c>
      <x:c r="B87" s="2" t="str">
        <x:v>town/library</x:v>
      </x:c>
      <x:c r="C87" s="2" t="str">
        <x:v>Город</x:v>
      </x:c>
      <x:c r="D87" s="2" t="str">
        <x:v>Обычный маршрут</x:v>
      </x:c>
      <x:c r="E87" s="2" t="str"/>
      <x:c r="F87" s="23" t="str"/>
    </x:row>
    <x:row r="88" ht="15" hidden="0" customHeight="1">
      <x:c r="A88" s="2" t="str">
        <x:v>TownLibraryGear</x:v>
      </x:c>
      <x:c r="B88" s="2" t="str">
        <x:v>town/library/gear</x:v>
      </x:c>
      <x:c r="C88" s="2" t="str">
        <x:v>Город</x:v>
      </x:c>
      <x:c r="D88" s="2" t="str">
        <x:v>Обычный маршрут</x:v>
      </x:c>
      <x:c r="E88" s="2" t="str"/>
      <x:c r="F88" s="23" t="str"/>
    </x:row>
    <x:row r="89" ht="15" hidden="0" customHeight="1">
      <x:c r="A89" s="2" t="str">
        <x:v>TownLibrarySkills</x:v>
      </x:c>
      <x:c r="B89" s="2" t="str">
        <x:v>town/library/skills</x:v>
      </x:c>
      <x:c r="C89" s="2" t="str">
        <x:v>Город</x:v>
      </x:c>
      <x:c r="D89" s="2" t="str">
        <x:v>Обычный маршрут</x:v>
      </x:c>
      <x:c r="E89" s="2" t="str"/>
      <x:c r="F89" s="23" t="str"/>
    </x:row>
    <x:row r="90" ht="15" hidden="0" customHeight="1">
      <x:c r="A90" s="2" t="str">
        <x:v>TownMainHouse</x:v>
      </x:c>
      <x:c r="B90" s="2" t="str">
        <x:v>town/main-house</x:v>
      </x:c>
      <x:c r="C90" s="2" t="str">
        <x:v>Город</x:v>
      </x:c>
      <x:c r="D90" s="2" t="str">
        <x:v>Обычный маршрут</x:v>
      </x:c>
      <x:c r="E90" s="2" t="str"/>
      <x:c r="F90" s="23" t="str"/>
    </x:row>
    <x:row r="91" ht="15" hidden="0" customHeight="1">
      <x:c r="A91" s="2" t="str">
        <x:v>TownMarketStall</x:v>
      </x:c>
      <x:c r="B91" s="2" t="str">
        <x:v>town/market-stall</x:v>
      </x:c>
      <x:c r="C91" s="2" t="str">
        <x:v>Город</x:v>
      </x:c>
      <x:c r="D91" s="2" t="str">
        <x:v>Обычный маршрут</x:v>
      </x:c>
      <x:c r="E91" s="2" t="str"/>
      <x:c r="F91" s="23" t="str"/>
    </x:row>
    <x:row r="92" ht="15" hidden="0" customHeight="1">
      <x:c r="A92" s="2" t="str">
        <x:v>TownMarketStallBuy</x:v>
      </x:c>
      <x:c r="B92" s="2" t="str">
        <x:v>town/market-stall/buy</x:v>
      </x:c>
      <x:c r="C92" s="2" t="str">
        <x:v>Город</x:v>
      </x:c>
      <x:c r="D92" s="2" t="str">
        <x:v>Обычный маршрут</x:v>
      </x:c>
      <x:c r="E92" s="2" t="str"/>
      <x:c r="F92" s="23" t="str"/>
    </x:row>
    <x:row r="93" ht="15" hidden="0" customHeight="1">
      <x:c r="A93" s="2" t="str">
        <x:v>TownMarketStallSell</x:v>
      </x:c>
      <x:c r="B93" s="2" t="str">
        <x:v>town/market-stall/sell</x:v>
      </x:c>
      <x:c r="C93" s="2" t="str">
        <x:v>Город</x:v>
      </x:c>
      <x:c r="D93" s="2" t="str">
        <x:v>Обычный маршрут</x:v>
      </x:c>
      <x:c r="E93" s="2" t="str"/>
      <x:c r="F93" s="23" t="str"/>
    </x:row>
    <x:row r="94" ht="15" hidden="0" customHeight="1">
      <x:c r="A94" s="2" t="str">
        <x:v>TownPortal</x:v>
      </x:c>
      <x:c r="B94" s="2" t="str">
        <x:v>town/portal</x:v>
      </x:c>
      <x:c r="C94" s="2" t="str">
        <x:v>Город</x:v>
      </x:c>
      <x:c r="D94" s="2" t="str">
        <x:v>Обычный маршрут</x:v>
      </x:c>
      <x:c r="E94" s="2" t="str"/>
      <x:c r="F94" s="23" t="str"/>
    </x:row>
    <x:row r="95" ht="15" hidden="0" customHeight="1">
      <x:c r="A95" s="2" t="str">
        <x:v>TownStash</x:v>
      </x:c>
      <x:c r="B95" s="2" t="str">
        <x:v>town/homestead/stash</x:v>
      </x:c>
      <x:c r="C95" s="2" t="str">
        <x:v>Город</x:v>
      </x:c>
      <x:c r="D95" s="2" t="str">
        <x:v>Обычный маршрут</x:v>
      </x:c>
      <x:c r="E95" s="2" t="str"/>
      <x:c r="F95" s="23" t="str"/>
    </x:row>
    <x:row r="96" ht="15" hidden="0" customHeight="1">
      <x:c r="A96" s="2" t="str">
        <x:v>TownStashBackpack</x:v>
      </x:c>
      <x:c r="B96" s="2" t="str">
        <x:v>town/homestead/stash/backpack</x:v>
      </x:c>
      <x:c r="C96" s="2" t="str">
        <x:v>Город</x:v>
      </x:c>
      <x:c r="D96" s="2" t="str">
        <x:v>Обычный маршрут</x:v>
      </x:c>
      <x:c r="E96" s="2" t="str"/>
      <x:c r="F96" s="23" t="str"/>
    </x:row>
    <x:row r="97" ht="15" hidden="0" customHeight="1">
      <x:c r="A97" s="2" t="str">
        <x:v>TownStashStash</x:v>
      </x:c>
      <x:c r="B97" s="2" t="str">
        <x:v>town/homestead/stash/stash</x:v>
      </x:c>
      <x:c r="C97" s="2" t="str">
        <x:v>Город</x:v>
      </x:c>
      <x:c r="D97" s="2" t="str">
        <x:v>Обычный маршрут</x:v>
      </x:c>
      <x:c r="E97" s="2" t="str"/>
      <x:c r="F97" s="23" t="str"/>
    </x:row>
    <x:row r="98" ht="15" hidden="0" customHeight="1">
      <x:c r="A98" s="2" t="str">
        <x:v>TownStock</x:v>
      </x:c>
      <x:c r="B98" s="2" t="str">
        <x:v>town/stock</x:v>
      </x:c>
      <x:c r="C98" s="2" t="str">
        <x:v>Город</x:v>
      </x:c>
      <x:c r="D98" s="2" t="str">
        <x:v>Обычный маршрут</x:v>
      </x:c>
      <x:c r="E98" s="2" t="str"/>
      <x:c r="F98" s="23" t="str"/>
    </x:row>
    <x:row r="99" ht="15" hidden="0" customHeight="1">
      <x:c r="A99" s="2" t="str">
        <x:v>TownTavern</x:v>
      </x:c>
      <x:c r="B99" s="2" t="str">
        <x:v>town/tavern</x:v>
      </x:c>
      <x:c r="C99" s="2" t="str">
        <x:v>Город</x:v>
      </x:c>
      <x:c r="D99" s="2" t="str">
        <x:v>Обычный маршрут</x:v>
      </x:c>
      <x:c r="E99" s="2" t="str"/>
      <x:c r="F99" s="23" t="str"/>
    </x:row>
    <x:row r="100" ht="15" hidden="0" customHeight="1">
      <x:c r="A100" s="2" t="str">
        <x:v>TownTavernQuests</x:v>
      </x:c>
      <x:c r="B100" s="2" t="str">
        <x:v>town/tavern/quests</x:v>
      </x:c>
      <x:c r="C100" s="2" t="str">
        <x:v>Город</x:v>
      </x:c>
      <x:c r="D100" s="2" t="str">
        <x:v>Обычный маршрут</x:v>
      </x:c>
      <x:c r="E100" s="2" t="str"/>
      <x:c r="F100" s="23" t="str"/>
    </x:row>
    <x:row r="101" ht="15" hidden="0" customHeight="1">
      <x:c r="A101" s="2" t="str">
        <x:v>TownTavernContracts</x:v>
      </x:c>
      <x:c r="B101" s="2" t="str">
        <x:v>town/tavern/contracts</x:v>
      </x:c>
      <x:c r="C101" s="2" t="str">
        <x:v>Город</x:v>
      </x:c>
      <x:c r="D101" s="2" t="str">
        <x:v>Обычный маршрут</x:v>
      </x:c>
      <x:c r="E101" s="2" t="str"/>
      <x:c r="F101" s="23" t="str"/>
    </x:row>
    <x:row r="102" ht="15" hidden="0" customHeight="1">
      <x:c r="A102" s="2" t="str">
        <x:v>JournalContracts</x:v>
      </x:c>
      <x:c r="B102" s="2" t="str">
        <x:v>journal/contracts</x:v>
      </x:c>
      <x:c r="C102" s="2" t="str">
        <x:v>Журнал</x:v>
      </x:c>
      <x:c r="D102" s="2" t="str">
        <x:v>Обычный маршрут</x:v>
      </x:c>
      <x:c r="E102" s="2" t="str"/>
      <x:c r="F102" s="23" t="str"/>
    </x:row>
    <x:row r="103" ht="15" hidden="0" customHeight="1">
      <x:c r="A103" s="2" t="str">
        <x:v>TownWardrobe</x:v>
      </x:c>
      <x:c r="B103" s="2" t="str">
        <x:v>town/wardrobe</x:v>
      </x:c>
      <x:c r="C103" s="2" t="str">
        <x:v>Город</x:v>
      </x:c>
      <x:c r="D103" s="2" t="str">
        <x:v>Обычный маршрут</x:v>
      </x:c>
      <x:c r="E103" s="2" t="str"/>
      <x:c r="F103" s="23" t="str"/>
    </x:row>
    <x:row r="104" ht="15" hidden="0" customHeight="1">
      <x:c r="A104" s="2" t="str">
        <x:v>TownWardrobeRating</x:v>
      </x:c>
      <x:c r="B104" s="2" t="str">
        <x:v>town/wardrobe/rating</x:v>
      </x:c>
      <x:c r="C104" s="2" t="str">
        <x:v>Город</x:v>
      </x:c>
      <x:c r="D104" s="2" t="str">
        <x:v>Обычный маршрут</x:v>
      </x:c>
      <x:c r="E104" s="2" t="str"/>
      <x:c r="F104" s="23" t="str"/>
    </x:row>
    <x:row r="105" ht="15" hidden="0" customHeight="1">
      <x:c r="A105" s="2" t="str">
        <x:v>TownWardrobeCollection</x:v>
      </x:c>
      <x:c r="B105" s="2" t="str">
        <x:v>town/wardrobe/collection</x:v>
      </x:c>
      <x:c r="C105" s="2" t="str">
        <x:v>Город</x:v>
      </x:c>
      <x:c r="D105" s="2" t="str">
        <x:v>Неочевидный / служебный</x:v>
      </x:c>
      <x:c r="E105" s="2" t="str">
        <x:v>Коллекция гардероба</x:v>
      </x:c>
      <x:c r="F105" s="23" t="str"/>
    </x:row>
    <x:row r="106" ht="15" hidden="0" customHeight="1">
      <x:c r="A106" s="2" t="str">
        <x:v>TownStable</x:v>
      </x:c>
      <x:c r="B106" s="2" t="str">
        <x:v>town/stable</x:v>
      </x:c>
      <x:c r="C106" s="2" t="str">
        <x:v>Город</x:v>
      </x:c>
      <x:c r="D106" s="2" t="str">
        <x:v>Обычный маршрут</x:v>
      </x:c>
      <x:c r="E106" s="2" t="str"/>
      <x:c r="F106" s="23" t="str"/>
    </x:row>
    <x:row r="107" ht="15" hidden="0" customHeight="1">
      <x:c r="A107" s="2" t="str">
        <x:v>TownStableBarn</x:v>
      </x:c>
      <x:c r="B107" s="2" t="str">
        <x:v>town/stable/barn</x:v>
      </x:c>
      <x:c r="C107" s="2" t="str">
        <x:v>Город</x:v>
      </x:c>
      <x:c r="D107" s="2" t="str">
        <x:v>Обычный маршрут</x:v>
      </x:c>
      <x:c r="E107" s="2" t="str"/>
      <x:c r="F107" s="23" t="str"/>
    </x:row>
    <x:row r="108" ht="15" hidden="0" customHeight="1">
      <x:c r="A108" s="2" t="str">
        <x:v>TownStableCollection</x:v>
      </x:c>
      <x:c r="B108" s="2" t="str">
        <x:v>town/stable/collection</x:v>
      </x:c>
      <x:c r="C108" s="2" t="str">
        <x:v>Город</x:v>
      </x:c>
      <x:c r="D108" s="2" t="str">
        <x:v>Неочевидный / служебный</x:v>
      </x:c>
      <x:c r="E108" s="2" t="str">
        <x:v>Коллекция конюшни</x:v>
      </x:c>
      <x:c r="F108" s="23" t="str"/>
    </x:row>
    <x:row r="109" ht="15" hidden="0" customHeight="1">
      <x:c r="A109" s="2" t="str">
        <x:v>TownWorkshop</x:v>
      </x:c>
      <x:c r="B109" s="2" t="str">
        <x:v>town/workshop</x:v>
      </x:c>
      <x:c r="C109" s="2" t="str">
        <x:v>Город</x:v>
      </x:c>
      <x:c r="D109" s="2" t="str">
        <x:v>Обычный маршрут</x:v>
      </x:c>
      <x:c r="E109" s="2" t="str"/>
      <x:c r="F109" s="23" t="str"/>
    </x:row>
    <x:row r="110" ht="15" hidden="0" customHeight="1">
      <x:c r="A110" s="2" t="str">
        <x:v>Journal</x:v>
      </x:c>
      <x:c r="B110" s="2" t="str">
        <x:v>journal</x:v>
      </x:c>
      <x:c r="C110" s="2" t="str">
        <x:v>Журнал</x:v>
      </x:c>
      <x:c r="D110" s="2" t="str">
        <x:v>Обычный маршрут</x:v>
      </x:c>
      <x:c r="E110" s="2" t="str"/>
      <x:c r="F110" s="23" t="str"/>
    </x:row>
    <x:row r="111" ht="15" hidden="0" customHeight="1">
      <x:c r="A111" s="2" t="str">
        <x:v>JournalQuests</x:v>
      </x:c>
      <x:c r="B111" s="2" t="str">
        <x:v>journal/quests</x:v>
      </x:c>
      <x:c r="C111" s="2" t="str">
        <x:v>Журнал</x:v>
      </x:c>
      <x:c r="D111" s="2" t="str">
        <x:v>Обычный маршрут</x:v>
      </x:c>
      <x:c r="E111" s="2" t="str"/>
      <x:c r="F111" s="23" t="str"/>
    </x:row>
    <x:row r="112" ht="15" hidden="0" customHeight="1">
      <x:c r="A112" s="2" t="str">
        <x:v>JournalTraining</x:v>
      </x:c>
      <x:c r="B112" s="2" t="str">
        <x:v>journal/training</x:v>
      </x:c>
      <x:c r="C112" s="2" t="str">
        <x:v>Журнал</x:v>
      </x:c>
      <x:c r="D112" s="2" t="str">
        <x:v>Обычный маршрут</x:v>
      </x:c>
      <x:c r="E112" s="2" t="str"/>
      <x:c r="F112" s="23" t="str"/>
    </x:row>
    <x:row r="113" ht="15" hidden="0" customHeight="1">
      <x:c r="A113" s="2" t="str">
        <x:v>Battle</x:v>
      </x:c>
      <x:c r="B113" s="2" t="str">
        <x:v>battle</x:v>
      </x:c>
      <x:c r="C113" s="2" t="str">
        <x:v>Бои и группы</x:v>
      </x:c>
      <x:c r="D113" s="2" t="str">
        <x:v>Обычный маршрут</x:v>
      </x:c>
      <x:c r="E113" s="2" t="str"/>
      <x:c r="F113" s="23" t="str"/>
    </x:row>
    <x:row r="114" ht="15" hidden="0" customHeight="1">
      <x:c r="A114" s="2" t="str">
        <x:v>Character</x:v>
      </x:c>
      <x:c r="B114" s="2" t="str">
        <x:v>character</x:v>
      </x:c>
      <x:c r="C114" s="2" t="str">
        <x:v>Персонаж</x:v>
      </x:c>
      <x:c r="D114" s="2" t="str">
        <x:v>Обычный маршрут</x:v>
      </x:c>
      <x:c r="E114" s="2" t="str"/>
      <x:c r="F114" s="23" t="str"/>
    </x:row>
    <x:row r="115" ht="15" hidden="0" customHeight="1">
      <x:c r="A115" s="2" t="str">
        <x:v>CharacterBackpack</x:v>
      </x:c>
      <x:c r="B115" s="2" t="str">
        <x:v>character/backpack</x:v>
      </x:c>
      <x:c r="C115" s="2" t="str">
        <x:v>Персонаж</x:v>
      </x:c>
      <x:c r="D115" s="2" t="str">
        <x:v>Обычный маршрут</x:v>
      </x:c>
      <x:c r="E115" s="2" t="str"/>
      <x:c r="F115" s="23" t="str"/>
    </x:row>
    <x:row r="116" ht="15" hidden="0" customHeight="1">
      <x:c r="A116" s="2" t="str">
        <x:v>CharacterStats</x:v>
      </x:c>
      <x:c r="B116" s="2" t="str">
        <x:v>character/stats</x:v>
      </x:c>
      <x:c r="C116" s="2" t="str">
        <x:v>Персонаж</x:v>
      </x:c>
      <x:c r="D116" s="2" t="str">
        <x:v>Обычный маршрут</x:v>
      </x:c>
      <x:c r="E116" s="2" t="str"/>
      <x:c r="F116" s="23" t="str"/>
    </x:row>
    <x:row r="117" ht="15" hidden="0" customHeight="1">
      <x:c r="A117" s="2" t="str">
        <x:v>CharacterGear</x:v>
      </x:c>
      <x:c r="B117" s="2" t="str">
        <x:v>character/gear</x:v>
      </x:c>
      <x:c r="C117" s="2" t="str">
        <x:v>Персонаж</x:v>
      </x:c>
      <x:c r="D117" s="2" t="str">
        <x:v>Обычный маршрут</x:v>
      </x:c>
      <x:c r="E117" s="2" t="str"/>
      <x:c r="F117" s="23" t="str"/>
    </x:row>
    <x:row r="118" ht="15" hidden="0" customHeight="1">
      <x:c r="A118" s="2" t="str">
        <x:v>CharacterSkills</x:v>
      </x:c>
      <x:c r="B118" s="2" t="str">
        <x:v>character/skills</x:v>
      </x:c>
      <x:c r="C118" s="2" t="str">
        <x:v>Персонаж</x:v>
      </x:c>
      <x:c r="D118" s="2" t="str">
        <x:v>Обычный маршрут</x:v>
      </x:c>
      <x:c r="E118" s="2" t="str"/>
      <x:c r="F118" s="23" t="str"/>
    </x:row>
    <x:row r="119" ht="15" hidden="0" customHeight="1">
      <x:c r="A119" s="2" t="str">
        <x:v>Guild</x:v>
      </x:c>
      <x:c r="B119" s="2" t="str">
        <x:v>guild</x:v>
      </x:c>
      <x:c r="C119" s="2" t="str">
        <x:v>Гильдия</x:v>
      </x:c>
      <x:c r="D119" s="2" t="str">
        <x:v>Обычный маршрут</x:v>
      </x:c>
      <x:c r="E119" s="2" t="str"/>
      <x:c r="F119" s="23" t="str"/>
    </x:row>
    <x:row r="120" ht="15" hidden="0" customHeight="1">
      <x:c r="A120" s="2" t="str">
        <x:v>GuildEmpty</x:v>
      </x:c>
      <x:c r="B120" s="2" t="str">
        <x:v>guild/empty</x:v>
      </x:c>
      <x:c r="C120" s="2" t="str">
        <x:v>Гильдия</x:v>
      </x:c>
      <x:c r="D120" s="2" t="str">
        <x:v>Обычный маршрут</x:v>
      </x:c>
      <x:c r="E120" s="2" t="str"/>
      <x:c r="F120" s="23" t="str"/>
    </x:row>
    <x:row r="121" ht="15" hidden="0" customHeight="1">
      <x:c r="A121" s="2" t="str">
        <x:v>GuildCreate</x:v>
      </x:c>
      <x:c r="B121" s="2" t="str">
        <x:v>guild/create</x:v>
      </x:c>
      <x:c r="C121" s="2" t="str">
        <x:v>Гильдия</x:v>
      </x:c>
      <x:c r="D121" s="2" t="str">
        <x:v>Обычный маршрут</x:v>
      </x:c>
      <x:c r="E121" s="2" t="str"/>
      <x:c r="F121" s="23" t="str"/>
    </x:row>
    <x:row r="122" ht="15" hidden="0" customHeight="1">
      <x:c r="A122" s="2" t="str">
        <x:v>GuildMy</x:v>
      </x:c>
      <x:c r="B122" s="2" t="str">
        <x:v>guild/my</x:v>
      </x:c>
      <x:c r="C122" s="2" t="str">
        <x:v>Гильдия</x:v>
      </x:c>
      <x:c r="D122" s="2" t="str">
        <x:v>Обычный маршрут</x:v>
      </x:c>
      <x:c r="E122" s="2" t="str"/>
      <x:c r="F122" s="23" t="str"/>
    </x:row>
    <x:row r="123" ht="15" hidden="0" customHeight="1">
      <x:c r="A123" s="2" t="str">
        <x:v>GuildSettings</x:v>
      </x:c>
      <x:c r="B123" s="2" t="str">
        <x:v>guild/settings</x:v>
      </x:c>
      <x:c r="C123" s="2" t="str">
        <x:v>Гильдия</x:v>
      </x:c>
      <x:c r="D123" s="2" t="str">
        <x:v>Обычный маршрут</x:v>
      </x:c>
      <x:c r="E123" s="2" t="str"/>
      <x:c r="F123" s="23" t="str"/>
    </x:row>
    <x:row r="124" ht="15" hidden="0" customHeight="1">
      <x:c r="A124" s="2" t="str">
        <x:v>GuildEdit</x:v>
      </x:c>
      <x:c r="B124" s="2" t="str">
        <x:v>guild/edit</x:v>
      </x:c>
      <x:c r="C124" s="2" t="str">
        <x:v>Гильдия</x:v>
      </x:c>
      <x:c r="D124" s="2" t="str">
        <x:v>Обычный маршрут</x:v>
      </x:c>
      <x:c r="E124" s="2" t="str"/>
      <x:c r="F124" s="23" t="str"/>
    </x:row>
    <x:row r="125" ht="15" hidden="0" customHeight="1">
      <x:c r="A125" s="2" t="str">
        <x:v>GuildMembers</x:v>
      </x:c>
      <x:c r="B125" s="2" t="str">
        <x:v>guild/members</x:v>
      </x:c>
      <x:c r="C125" s="2" t="str">
        <x:v>Гильдия</x:v>
      </x:c>
      <x:c r="D125" s="2" t="str">
        <x:v>Обычный маршрут</x:v>
      </x:c>
      <x:c r="E125" s="2" t="str"/>
      <x:c r="F125" s="23" t="str"/>
    </x:row>
    <x:row r="126" ht="15" hidden="0" customHeight="1">
      <x:c r="A126" s="2" t="str">
        <x:v>GuildArsenal</x:v>
      </x:c>
      <x:c r="B126" s="2" t="str">
        <x:v>guild/arsenal</x:v>
      </x:c>
      <x:c r="C126" s="2" t="str">
        <x:v>Гильдия</x:v>
      </x:c>
      <x:c r="D126" s="2" t="str">
        <x:v>Обычный маршрут</x:v>
      </x:c>
      <x:c r="E126" s="2" t="str"/>
      <x:c r="F126" s="23" t="str"/>
    </x:row>
    <x:row r="127" ht="15" hidden="0" customHeight="1">
      <x:c r="A127" s="2" t="str">
        <x:v>GuildArsenalArsenal</x:v>
      </x:c>
      <x:c r="B127" s="2" t="str">
        <x:v>guild/arsenal/arsenal</x:v>
      </x:c>
      <x:c r="C127" s="2" t="str">
        <x:v>Гильдия</x:v>
      </x:c>
      <x:c r="D127" s="2" t="str">
        <x:v>Обычный маршрут</x:v>
      </x:c>
      <x:c r="E127" s="2" t="str"/>
      <x:c r="F127" s="23" t="str"/>
    </x:row>
    <x:row r="128" ht="15" hidden="0" customHeight="1">
      <x:c r="A128" s="2" t="str">
        <x:v>GuildArsenalBackpack</x:v>
      </x:c>
      <x:c r="B128" s="2" t="str">
        <x:v>guild/arsenal/backpack</x:v>
      </x:c>
      <x:c r="C128" s="2" t="str">
        <x:v>Гильдия</x:v>
      </x:c>
      <x:c r="D128" s="2" t="str">
        <x:v>Обычный маршрут</x:v>
      </x:c>
      <x:c r="E128" s="2" t="str"/>
      <x:c r="F128" s="23" t="str"/>
    </x:row>
    <x:row r="129" ht="15" hidden="0" customHeight="1">
      <x:c r="A129" s="2" t="str">
        <x:v>GuildDungeon</x:v>
      </x:c>
      <x:c r="B129" s="2" t="str">
        <x:v>guild/dungeon/:dungeonID</x:v>
      </x:c>
      <x:c r="C129" s="2" t="str">
        <x:v>Гильдия</x:v>
      </x:c>
      <x:c r="D129" s="2" t="str">
        <x:v>Обычный маршрут</x:v>
      </x:c>
      <x:c r="E129" s="2" t="str"/>
      <x:c r="F129" s="23" t="str"/>
    </x:row>
    <x:row r="130" ht="15" hidden="0" customHeight="1">
      <x:c r="A130" s="2" t="str">
        <x:v>GuildDungeonLive</x:v>
      </x:c>
      <x:c r="B130" s="2" t="str">
        <x:v>guild/dungeon/:dungeonID/live</x:v>
      </x:c>
      <x:c r="C130" s="2" t="str">
        <x:v>Гильдия</x:v>
      </x:c>
      <x:c r="D130" s="2" t="str">
        <x:v>Неочевидный / служебный</x:v>
      </x:c>
      <x:c r="E130" s="2" t="str">
        <x:v>Live-экран гильдейского подземелья</x:v>
      </x:c>
      <x:c r="F130" s="23" t="str"/>
    </x:row>
    <x:row r="131" ht="15" hidden="0" customHeight="1">
      <x:c r="A131" s="2" t="str">
        <x:v>GuildStorage</x:v>
      </x:c>
      <x:c r="B131" s="2" t="str">
        <x:v>guild/storage</x:v>
      </x:c>
      <x:c r="C131" s="2" t="str">
        <x:v>Гильдия</x:v>
      </x:c>
      <x:c r="D131" s="2" t="str">
        <x:v>Обычный маршрут</x:v>
      </x:c>
      <x:c r="E131" s="2" t="str"/>
      <x:c r="F131" s="23" t="str"/>
    </x:row>
    <x:row r="132" ht="15" hidden="0" customHeight="1">
      <x:c r="A132" s="2" t="str">
        <x:v>GuildCitadel</x:v>
      </x:c>
      <x:c r="B132" s="2" t="str">
        <x:v>guild/citadel</x:v>
      </x:c>
      <x:c r="C132" s="2" t="str">
        <x:v>Гильдия</x:v>
      </x:c>
      <x:c r="D132" s="2" t="str">
        <x:v>Обычный маршрут</x:v>
      </x:c>
      <x:c r="E132" s="2" t="str"/>
      <x:c r="F132" s="23" t="str"/>
    </x:row>
    <x:row r="133" ht="15" hidden="0" customHeight="1">
      <x:c r="A133" s="2" t="str">
        <x:v>GuildLeaderboard</x:v>
      </x:c>
      <x:c r="B133" s="2" t="str">
        <x:v>guild/leaderboard</x:v>
      </x:c>
      <x:c r="C133" s="2" t="str">
        <x:v>Гильдия</x:v>
      </x:c>
      <x:c r="D133" s="2" t="str">
        <x:v>Обычный маршрут</x:v>
      </x:c>
      <x:c r="E133" s="2" t="str"/>
      <x:c r="F133" s="23" t="str"/>
    </x:row>
    <x:row r="134" ht="15" hidden="0" customHeight="1">
      <x:c r="A134" s="2" t="str">
        <x:v>GuildLeaderboardCharacters</x:v>
      </x:c>
      <x:c r="B134" s="2" t="str">
        <x:v>guild/leaderboard/characters</x:v>
      </x:c>
      <x:c r="C134" s="2" t="str">
        <x:v>Гильдия</x:v>
      </x:c>
      <x:c r="D134" s="2" t="str">
        <x:v>Обычный маршрут</x:v>
      </x:c>
      <x:c r="E134" s="2" t="str"/>
      <x:c r="F134" s="23" t="str"/>
    </x:row>
    <x:row r="135" ht="15" hidden="0" customHeight="1">
      <x:c r="A135" s="2" t="str">
        <x:v>GuildLeaderboardContribution</x:v>
      </x:c>
      <x:c r="B135" s="2" t="str">
        <x:v>guild/leaderboard/contribution</x:v>
      </x:c>
      <x:c r="C135" s="2" t="str">
        <x:v>Гильдия</x:v>
      </x:c>
      <x:c r="D135" s="2" t="str">
        <x:v>Неочевидный / служебный</x:v>
      </x:c>
      <x:c r="E135" s="2" t="str">
        <x:v>Рейтинг вклада в гильдию</x:v>
      </x:c>
      <x:c r="F135" s="23" t="str"/>
    </x:row>
    <x:row r="136" ht="15" hidden="0" customHeight="1">
      <x:c r="A136" s="2" t="str">
        <x:v>GuildLeaderboardPvp</x:v>
      </x:c>
      <x:c r="B136" s="2" t="str">
        <x:v>guild/leaderboard/pvp</x:v>
      </x:c>
      <x:c r="C136" s="2" t="str">
        <x:v>Гильдия</x:v>
      </x:c>
      <x:c r="D136" s="2" t="str">
        <x:v>Обычный маршрут</x:v>
      </x:c>
      <x:c r="E136" s="2" t="str"/>
      <x:c r="F136" s="23" t="str"/>
    </x:row>
    <x:row r="137" ht="15" hidden="0" customHeight="1">
      <x:c r="A137" s="2" t="str">
        <x:v>GuildApplications</x:v>
      </x:c>
      <x:c r="B137" s="2" t="str">
        <x:v>guild/applications</x:v>
      </x:c>
      <x:c r="C137" s="2" t="str">
        <x:v>Гильдия</x:v>
      </x:c>
      <x:c r="D137" s="2" t="str">
        <x:v>Обычный маршрут</x:v>
      </x:c>
      <x:c r="E137" s="2" t="str"/>
      <x:c r="F137" s="23" t="str"/>
    </x:row>
    <x:row r="138" ht="15" hidden="0" customHeight="1">
      <x:c r="A138" s="2" t="str">
        <x:v>Leaderboard</x:v>
      </x:c>
      <x:c r="B138" s="2" t="str">
        <x:v>leaderboard</x:v>
      </x:c>
      <x:c r="C138" s="2" t="str">
        <x:v>Рейтинги</x:v>
      </x:c>
      <x:c r="D138" s="2" t="str">
        <x:v>Обычный маршрут</x:v>
      </x:c>
      <x:c r="E138" s="2" t="str"/>
      <x:c r="F138" s="23" t="str"/>
    </x:row>
    <x:row r="139" ht="15" hidden="0" customHeight="1">
      <x:c r="A139" s="2" t="str">
        <x:v>LeaderboardCharacters</x:v>
      </x:c>
      <x:c r="B139" s="2" t="str">
        <x:v>leaderboard/characters</x:v>
      </x:c>
      <x:c r="C139" s="2" t="str">
        <x:v>Рейтинги</x:v>
      </x:c>
      <x:c r="D139" s="2" t="str">
        <x:v>Обычный маршрут</x:v>
      </x:c>
      <x:c r="E139" s="2" t="str"/>
      <x:c r="F139" s="23" t="str"/>
    </x:row>
    <x:row r="140" ht="15" hidden="0" customHeight="1">
      <x:c r="A140" s="2" t="str">
        <x:v>LeaderboardHunters</x:v>
      </x:c>
      <x:c r="B140" s="2" t="str">
        <x:v>leaderboard/hunters</x:v>
      </x:c>
      <x:c r="C140" s="2" t="str">
        <x:v>Рейтинги</x:v>
      </x:c>
      <x:c r="D140" s="2" t="str">
        <x:v>Обычный маршрут</x:v>
      </x:c>
      <x:c r="E140" s="2" t="str"/>
      <x:c r="F140" s="23" t="str"/>
    </x:row>
    <x:row r="141" ht="15" hidden="0" customHeight="1">
      <x:c r="A141" s="2" t="str">
        <x:v>LeaderboardPvp</x:v>
      </x:c>
      <x:c r="B141" s="2" t="str">
        <x:v>leaderboard/pvp</x:v>
      </x:c>
      <x:c r="C141" s="2" t="str">
        <x:v>Рейтинги</x:v>
      </x:c>
      <x:c r="D141" s="2" t="str">
        <x:v>Обычный маршрут</x:v>
      </x:c>
      <x:c r="E141" s="2" t="str"/>
      <x:c r="F141" s="23" t="str"/>
    </x:row>
    <x:row r="142" ht="15" hidden="0" customHeight="1">
      <x:c r="A142" s="2" t="str">
        <x:v>ReferralSystem</x:v>
      </x:c>
      <x:c r="B142" s="2" t="str">
        <x:v>referral-system</x:v>
      </x:c>
      <x:c r="C142" s="2" t="str">
        <x:v>Общее</x:v>
      </x:c>
      <x:c r="D142" s="2" t="str">
        <x:v>Обычный маршрут</x:v>
      </x:c>
      <x:c r="E142" s="2" t="str"/>
      <x:c r="F142" s="23" t="str"/>
    </x:row>
    <x:row r="143" ht="15" hidden="0" customHeight="1">
      <x:c r="A143" s="2" t="str">
        <x:v>ReferralSystemBonuses</x:v>
      </x:c>
      <x:c r="B143" s="2" t="str">
        <x:v>referral-system/bonuses</x:v>
      </x:c>
      <x:c r="C143" s="2" t="str">
        <x:v>Общее</x:v>
      </x:c>
      <x:c r="D143" s="2" t="str">
        <x:v>Обычный маршрут</x:v>
      </x:c>
      <x:c r="E143" s="2" t="str"/>
      <x:c r="F143" s="23" t="str"/>
    </x:row>
    <x:row r="144" ht="15" hidden="0" customHeight="1">
      <x:c r="A144" s="2" t="str">
        <x:v>ReferralSystemInvitations</x:v>
      </x:c>
      <x:c r="B144" s="2" t="str">
        <x:v>referral-system/invitations</x:v>
      </x:c>
      <x:c r="C144" s="2" t="str">
        <x:v>Общее</x:v>
      </x:c>
      <x:c r="D144" s="2" t="str">
        <x:v>Обычный маршрут</x:v>
      </x:c>
      <x:c r="E144" s="2" t="str"/>
      <x:c r="F144" s="23" t="str"/>
    </x:row>
    <x:row r="145" ht="15" hidden="0" customHeight="1">
      <x:c r="A145" s="2" t="str">
        <x:v>Shop</x:v>
      </x:c>
      <x:c r="B145" s="2" t="str">
        <x:v>shop</x:v>
      </x:c>
      <x:c r="C145" s="2" t="str">
        <x:v>Торговля и VIP</x:v>
      </x:c>
      <x:c r="D145" s="2" t="str">
        <x:v>Обычный маршрут</x:v>
      </x:c>
      <x:c r="E145" s="2" t="str"/>
      <x:c r="F145" s="23" t="str"/>
    </x:row>
    <x:row r="146" ht="15" hidden="0" customHeight="1">
      <x:c r="A146" s="2" t="str">
        <x:v>ShopGold</x:v>
      </x:c>
      <x:c r="B146" s="2" t="str">
        <x:v>shop/gold</x:v>
      </x:c>
      <x:c r="C146" s="2" t="str">
        <x:v>Торговля и VIP</x:v>
      </x:c>
      <x:c r="D146" s="2" t="str">
        <x:v>Обычный маршрут</x:v>
      </x:c>
      <x:c r="E146" s="2" t="str"/>
      <x:c r="F146" s="23" t="str"/>
    </x:row>
    <x:row r="147" ht="15" hidden="0" customHeight="1">
      <x:c r="A147" s="2" t="str">
        <x:v>ShopItems</x:v>
      </x:c>
      <x:c r="B147" s="2" t="str">
        <x:v>shop/items</x:v>
      </x:c>
      <x:c r="C147" s="2" t="str">
        <x:v>Торговля и VIP</x:v>
      </x:c>
      <x:c r="D147" s="2" t="str">
        <x:v>Обычный маршрут</x:v>
      </x:c>
      <x:c r="E147" s="2" t="str"/>
      <x:c r="F147" s="23" t="str"/>
    </x:row>
    <x:row r="148" ht="15" hidden="0" customHeight="1">
      <x:c r="A148" s="2" t="str">
        <x:v>ShopVipStatus</x:v>
      </x:c>
      <x:c r="B148" s="2" t="str">
        <x:v>shop/vip-status</x:v>
      </x:c>
      <x:c r="C148" s="2" t="str">
        <x:v>Торговля и VIP</x:v>
      </x:c>
      <x:c r="D148" s="2" t="str">
        <x:v>Обычный маршрут</x:v>
      </x:c>
      <x:c r="E148" s="2" t="str"/>
      <x:c r="F148" s="23" t="str"/>
    </x:row>
    <x:row r="149" ht="15" hidden="0" customHeight="1">
      <x:c r="A149" s="2" t="str">
        <x:v>TradingPost</x:v>
      </x:c>
      <x:c r="B149" s="2" t="str">
        <x:v>trading-post</x:v>
      </x:c>
      <x:c r="C149" s="2" t="str">
        <x:v>Торговля и VIP</x:v>
      </x:c>
      <x:c r="D149" s="2" t="str">
        <x:v>Обычный маршрут</x:v>
      </x:c>
      <x:c r="E149" s="2" t="str"/>
      <x:c r="F149" s="23" t="str"/>
    </x:row>
    <x:row r="150" ht="15" hidden="0" customHeight="1">
      <x:c r="A150" s="2" t="str">
        <x:v>TradingPostHistory</x:v>
      </x:c>
      <x:c r="B150" s="2" t="str">
        <x:v>trading-post/history</x:v>
      </x:c>
      <x:c r="C150" s="2" t="str">
        <x:v>Торговля и VIP</x:v>
      </x:c>
      <x:c r="D150" s="2" t="str">
        <x:v>Обычный маршрут</x:v>
      </x:c>
      <x:c r="E150" s="2" t="str"/>
      <x:c r="F150" s="23" t="str"/>
    </x:row>
    <x:row r="151" ht="15" hidden="0" customHeight="1">
      <x:c r="A151" s="2" t="str">
        <x:v>TradingPostMyOrders</x:v>
      </x:c>
      <x:c r="B151" s="2" t="str">
        <x:v>trading-post/my-orders</x:v>
      </x:c>
      <x:c r="C151" s="2" t="str">
        <x:v>Торговля и VIP</x:v>
      </x:c>
      <x:c r="D151" s="2" t="str">
        <x:v>Обычный маршрут</x:v>
      </x:c>
      <x:c r="E151" s="2" t="str"/>
      <x:c r="F151" s="23" t="str"/>
    </x:row>
    <x:row r="152" ht="15" hidden="0" customHeight="1">
      <x:c r="A152" s="2" t="str">
        <x:v>TradingPostStock</x:v>
      </x:c>
      <x:c r="B152" s="2" t="str">
        <x:v>trading-post/stock</x:v>
      </x:c>
      <x:c r="C152" s="2" t="str">
        <x:v>Торговля и VIP</x:v>
      </x:c>
      <x:c r="D152" s="2" t="str">
        <x:v>Обычный маршрут</x:v>
      </x:c>
      <x:c r="E152" s="2" t="str"/>
      <x:c r="F152" s="23" t="str"/>
    </x:row>
    <x:row r="153" ht="15" hidden="0" customHeight="1">
      <x:c r="A153" s="2" t="str">
        <x:v>TradingPostTrade</x:v>
      </x:c>
      <x:c r="B153" s="2" t="str">
        <x:v>trading-post/trade</x:v>
      </x:c>
      <x:c r="C153" s="2" t="str">
        <x:v>Торговля и VIP</x:v>
      </x:c>
      <x:c r="D153" s="2" t="str">
        <x:v>Обычный маршрут</x:v>
      </x:c>
      <x:c r="E153" s="2" t="str"/>
      <x:c r="F153" s="23" t="str"/>
    </x:row>
    <x:row r="154" ht="15" hidden="0" customHeight="1">
      <x:c r="A154" s="2" t="str">
        <x:v>Auction</x:v>
      </x:c>
      <x:c r="B154" s="2" t="str">
        <x:v>town/auction</x:v>
      </x:c>
      <x:c r="C154" s="2" t="str">
        <x:v>Город</x:v>
      </x:c>
      <x:c r="D154" s="2" t="str">
        <x:v>Обычный маршрут</x:v>
      </x:c>
      <x:c r="E154" s="2" t="str"/>
      <x:c r="F154" s="23" t="str"/>
    </x:row>
    <x:row r="155" ht="15" hidden="0" customHeight="1">
      <x:c r="A155" s="2" t="str">
        <x:v>AuctionBuy</x:v>
      </x:c>
      <x:c r="B155" s="2" t="str">
        <x:v>town/auction/buy</x:v>
      </x:c>
      <x:c r="C155" s="2" t="str">
        <x:v>Город</x:v>
      </x:c>
      <x:c r="D155" s="2" t="str">
        <x:v>Обычный маршрут</x:v>
      </x:c>
      <x:c r="E155" s="2" t="str"/>
      <x:c r="F155" s="23" t="str"/>
    </x:row>
    <x:row r="156" ht="15" hidden="0" customHeight="1">
      <x:c r="A156" s="2" t="str">
        <x:v>AuctionSell</x:v>
      </x:c>
      <x:c r="B156" s="2" t="str">
        <x:v>town/auction/sell</x:v>
      </x:c>
      <x:c r="C156" s="2" t="str">
        <x:v>Город</x:v>
      </x:c>
      <x:c r="D156" s="2" t="str">
        <x:v>Обычный маршрут</x:v>
      </x:c>
      <x:c r="E156" s="2" t="str"/>
      <x:c r="F156" s="23" t="str"/>
    </x:row>
    <x:row r="157" ht="15" hidden="0" customHeight="1">
      <x:c r="A157" s="2" t="str">
        <x:v>AuctionStock</x:v>
      </x:c>
      <x:c r="B157" s="2" t="str">
        <x:v>town/auction/stock</x:v>
      </x:c>
      <x:c r="C157" s="2" t="str">
        <x:v>Город</x:v>
      </x:c>
      <x:c r="D157" s="2" t="str">
        <x:v>Неочевидный / служебный</x:v>
      </x:c>
      <x:c r="E157" s="2" t="str">
        <x:v>Склад аукциона</x:v>
      </x:c>
      <x:c r="F157" s="23" t="str"/>
    </x:row>
    <x:row r="158" ht="15" hidden="0" customHeight="1">
      <x:c r="A158" s="2" t="str">
        <x:v>AuctionHistory</x:v>
      </x:c>
      <x:c r="B158" s="2" t="str">
        <x:v>town/auction/history</x:v>
      </x:c>
      <x:c r="C158" s="2" t="str">
        <x:v>Город</x:v>
      </x:c>
      <x:c r="D158" s="2" t="str">
        <x:v>Неочевидный / служебный</x:v>
      </x:c>
      <x:c r="E158" s="2" t="str">
        <x:v>История аукциона</x:v>
      </x:c>
      <x:c r="F158" s="23" t="str"/>
    </x:row>
    <x:row r="159" ht="15" hidden="0" customHeight="1">
      <x:c r="A159" s="2" t="str">
        <x:v>LocationLobby</x:v>
      </x:c>
      <x:c r="B159" s="2" t="str">
        <x:v>location/:locationID</x:v>
      </x:c>
      <x:c r="C159" s="2" t="str">
        <x:v>Бои и группы</x:v>
      </x:c>
      <x:c r="D159" s="2" t="str">
        <x:v>Обычный маршрут</x:v>
      </x:c>
      <x:c r="E159" s="2" t="str"/>
      <x:c r="F159" s="23" t="str"/>
    </x:row>
    <x:row r="160" ht="15" hidden="0" customHeight="1">
      <x:c r="A160" s="2" t="str">
        <x:v>LocationPvp</x:v>
      </x:c>
      <x:c r="B160" s="2" t="str">
        <x:v>location/:locationID/pvp</x:v>
      </x:c>
      <x:c r="C160" s="2" t="str">
        <x:v>Бои и группы</x:v>
      </x:c>
      <x:c r="D160" s="2" t="str">
        <x:v>Обычный маршрут</x:v>
      </x:c>
      <x:c r="E160" s="2" t="str"/>
      <x:c r="F160" s="23" t="str"/>
    </x:row>
    <x:row r="161" ht="15" hidden="0" customHeight="1">
      <x:c r="A161" s="2" t="str">
        <x:v>LocationWar</x:v>
      </x:c>
      <x:c r="B161" s="2" t="str">
        <x:v>location/:locationID/war</x:v>
      </x:c>
      <x:c r="C161" s="2" t="str">
        <x:v>Бои и группы</x:v>
      </x:c>
      <x:c r="D161" s="2" t="str">
        <x:v>Обычный маршрут</x:v>
      </x:c>
      <x:c r="E161" s="2" t="str"/>
      <x:c r="F161" s="23" t="str"/>
    </x:row>
    <x:row r="162" ht="15" hidden="0" customHeight="1">
      <x:c r="A162" s="2" t="str">
        <x:v>Vip</x:v>
      </x:c>
      <x:c r="B162" s="2" t="str">
        <x:v>vip</x:v>
      </x:c>
      <x:c r="C162" s="2" t="str">
        <x:v>Торговля и VIP</x:v>
      </x:c>
      <x:c r="D162" s="2" t="str">
        <x:v>Обычный маршрут</x:v>
      </x:c>
      <x:c r="E162" s="2" t="str"/>
      <x:c r="F162" s="23" t="str"/>
    </x:row>
    <x:row r="163" ht="15" hidden="0" customHeight="1">
      <x:c r="A163" s="2" t="str">
        <x:v>VipLevels</x:v>
      </x:c>
      <x:c r="B163" s="2" t="str">
        <x:v>vip/levels</x:v>
      </x:c>
      <x:c r="C163" s="2" t="str">
        <x:v>Торговля и VIP</x:v>
      </x:c>
      <x:c r="D163" s="2" t="str">
        <x:v>Обычный маршрут</x:v>
      </x:c>
      <x:c r="E163" s="2" t="str"/>
      <x:c r="F163" s="23" t="str"/>
    </x:row>
    <x:row r="164" ht="15" hidden="0" customHeight="1">
      <x:c r="A164" s="2" t="str">
        <x:v>VipStatus</x:v>
      </x:c>
      <x:c r="B164" s="2" t="str">
        <x:v>vip/status</x:v>
      </x:c>
      <x:c r="C164" s="2" t="str">
        <x:v>Торговля и VIP</x:v>
      </x:c>
      <x:c r="D164" s="2" t="str">
        <x:v>Обычный маршрут</x:v>
      </x:c>
      <x:c r="E164" s="2" t="str"/>
      <x:c r="F164" s="23" t="str"/>
    </x:row>
    <x:row r="165" ht="15" hidden="0" customHeight="1">
      <x:c r="A165" s="2" t="str">
        <x:v>VipShop</x:v>
      </x:c>
      <x:c r="B165" s="2" t="str">
        <x:v>vip/shop</x:v>
      </x:c>
      <x:c r="C165" s="2" t="str">
        <x:v>Торговля и VIP</x:v>
      </x:c>
      <x:c r="D165" s="2" t="str">
        <x:v>Обычный маршрут</x:v>
      </x:c>
      <x:c r="E165" s="2" t="str"/>
      <x:c r="F165" s="23" t="str"/>
    </x:row>
    <x:row r="166" ht="15" hidden="0" customHeight="1">
      <x:c r="A166" s="2" t="str">
        <x:v>Settings</x:v>
      </x:c>
      <x:c r="B166" s="2" t="str">
        <x:v>settings</x:v>
      </x:c>
      <x:c r="C166" s="2" t="str">
        <x:v>Общее</x:v>
      </x:c>
      <x:c r="D166" s="2" t="str">
        <x:v>Обычный маршрут</x:v>
      </x:c>
      <x:c r="E166" s="2" t="str"/>
      <x:c r="F166" s="23" t="str"/>
    </x:row>
    <x:row r="167" ht="15" hidden="0" customHeight="1">
      <x:c r="A167" s="2" t="str">
        <x:v>ServerUnavailable</x:v>
      </x:c>
      <x:c r="B167" s="2" t="str">
        <x:v>unavailable</x:v>
      </x:c>
      <x:c r="C167" s="2" t="str">
        <x:v>Общее</x:v>
      </x:c>
      <x:c r="D167" s="2" t="str">
        <x:v>Обычный маршрут</x:v>
      </x:c>
      <x:c r="E167" s="2" t="str"/>
      <x:c r="F167" s="23" t="str"/>
    </x:row>
    <x:row r="168" ht="15" hidden="0" customHeight="1">
      <x:c r="A168" s="2" t="str">
        <x:v>Arena</x:v>
      </x:c>
      <x:c r="B168" s="2" t="str">
        <x:v>(маршрут отсутствует)</x:v>
      </x:c>
      <x:c r="C168" s="2" t="str">
        <x:v>Бои</x:v>
      </x:c>
      <x:c r="D168" s="2" t="str">
        <x:v>Отключено / заглушка</x:v>
      </x:c>
      <x:c r="E168" s="2" t="str">
        <x:v>В списке вкладок боёв route = null</x:v>
      </x:c>
      <x:c r="F168" s="23" t="str"/>
    </x:row>
  </x:sheetData>
  <x:mergeCells>
    <x:mergeCell ref="A4:F4"/>
  </x:mergeCells>
  <x:conditionalFormatting sqref="D7:D168">
    <x:cfRule type="containsText" dxfId="1" priority="1" operator="containsText" text="Неочевидный"/>
    <x:cfRule type="containsText" dxfId="2" priority="2" operator="containsText" text="Отключено"/>
  </x:conditionalFormatting>
  <x:pageMargins left="0.7" right="0.7" top="0.75" bottom="0.75" header="0.3" footer="0.3"/>
</x:worksheet>
</file>